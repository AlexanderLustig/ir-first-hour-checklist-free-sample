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ettings" sheetId="2" r:id="rId2"/>
    <sheet name="Tests" sheetId="3" r:id="rId3"/>
    <sheet name="Lists" sheetId="4" r:id="rId4"/>
    <sheet name="Sample" sheetId="5" r:id="rId5"/>
    <sheet name="Blank" sheetId="6" r:id="rId6"/>
  </sheets>
  <definedNames>
    <definedName name="_xlnm._FilterDatabase" localSheetId="5" hidden="1">Blank!$A$1:$L$41</definedName>
    <definedName name="_xlnm._FilterDatabase" localSheetId="4" hidden="1">Sample!$A$1:$L$15</definedName>
    <definedName name="_xlnm.Print_Titles" localSheetId="5">Blank!$1:$1</definedName>
    <definedName name="_xlnm.Print_Titles" localSheetId="4">Sample!$1:$1</definedName>
  </definedNames>
  <calcPr calcId="124519" fullCalcOnLoad="1"/>
</workbook>
</file>

<file path=xl/sharedStrings.xml><?xml version="1.0" encoding="utf-8"?>
<sst xmlns="http://schemas.openxmlformats.org/spreadsheetml/2006/main" count="224" uniqueCount="154">
  <si>
    <t>Risk register: template and sample (fictional company)</t>
  </si>
  <si>
    <t>Drafted by an AI (Claude) on 2026-10-16. Version 1.1. Not reviewed by a practitioner, certified security professional or auditor.</t>
  </si>
  <si>
    <t>Free sample. Not legal advice, not an audit, not a certification, and no guarantee of compliance or of any audit result. Not affiliated with or endorsed by NIST, Microsoft, Google or any standards body; Excel and Google Sheets are trademarks of their owners. Company, people and data are fictional; adapt everything to your real practice. References: NIST CSF 2.0 category IDs (NIST, February 2024); only IDs are used, all other wording is original. License: free for personal and internal business use. Do not sell or repackage it. Unmodified copies may be shared with this notice kept.</t>
  </si>
  <si>
    <t>How to use (5 steps)</t>
  </si>
  <si>
    <t>1. Sheet 'Sample' shows a filled example for a 40-person firm. Sheet 'Blank' is yours. Yellow cells are inputs, grey cells are formulas (do not type over them).</t>
  </si>
  <si>
    <t>2. List one risk per row. Score Likelihood and Impact as whole numbers 1 (very low) to 5 (very high). The sheet only accepts 1 to 5.</t>
  </si>
  <si>
    <t>3. Score = Likelihood x Impact. Rating comes from the thresholds on the 'Settings' sheet (default High at 15 or more, Medium at 8 to 14, Low under 8). Change the thresholds on Settings only, and note why.</t>
  </si>
  <si>
    <t>4. Pick one accountable person by role (an outside provider can help but should not be the only owner), one planned treatment, a status from the list, and the main NIST CSF 2.0 category ID from the list on the 'Lists' sheet.</t>
  </si>
  <si>
    <t>5. Review High risks about every 3 months and the rest at least twice a year, and after any incident. Change status and date; do not delete old rows.</t>
  </si>
  <si>
    <t>Sheet notes: Blank holds 40 rows; to add more, copy the last row down (formulas, validation and formats come with it). Test cases are on the Tests sheet. Next review is a real date. Duplicate IDs turn orange and show '(duplicate)' in the ID column; fix them. If you add rows below the last row, extend the filter and the validation ranges by hand (Data &gt; Filter). Whole numbers 1 to 5 only: a pasted 2.5, 0, -1 or text shows 'check input'. This file was built by a script (XlsxWriter 3.2.9), not saved from Excel.</t>
  </si>
  <si>
    <t>Any paid standard (for example ISO/IEC 27001) must be obtained by you; none is included or reproduced. Not affiliated with or endorsed by NIST, ISO/IEC, CIS, SANS, AICPA, Notion, Microsoft or Google.</t>
  </si>
  <si>
    <t>Limits: scores are judgment calls, not measurements. Treatments in the sample are illustrative. A register helps you decide and explain; it does not prove your controls work. Tested by script and by an automated run in desktop Excel 16 on Windows (formulas, validation, copy and reopen, 500 rows); not opened by a person. Not tested: Google Sheets, LibreOffice, Excel on the web, Excel's Accessibility Checker.</t>
  </si>
  <si>
    <t>Rating thresholds (edit here only)</t>
  </si>
  <si>
    <t>High if score is at least</t>
  </si>
  <si>
    <t>Medium if score is at least</t>
  </si>
  <si>
    <t>Otherwise Low. Rating text values are fixed: High, Medium, Low. High threshold must be larger than the Medium threshold.</t>
  </si>
  <si>
    <t>Lowest allowed score for Likelihood and Impact</t>
  </si>
  <si>
    <t>Highest allowed score for Likelihood and Impact</t>
  </si>
  <si>
    <t>Change the scale only if you also change the labels in the README. The Tests sheet assumes 1 to 5.</t>
  </si>
  <si>
    <t>Live tests (default Settings). Column H must say PASS.</t>
  </si>
  <si>
    <t>#</t>
  </si>
  <si>
    <t>Likelihood (E)</t>
  </si>
  <si>
    <t>Impact (F)</t>
  </si>
  <si>
    <t>Expected score</t>
  </si>
  <si>
    <t>Expected rating</t>
  </si>
  <si>
    <t>Actual score</t>
  </si>
  <si>
    <t>Actual rating</t>
  </si>
  <si>
    <t>Result</t>
  </si>
  <si>
    <t>Note</t>
  </si>
  <si>
    <t>Low</t>
  </si>
  <si>
    <t>Lowest valid input</t>
  </si>
  <si>
    <t>High</t>
  </si>
  <si>
    <t>Highest valid input</t>
  </si>
  <si>
    <t>On the High boundary (15)</t>
  </si>
  <si>
    <t>check input</t>
  </si>
  <si>
    <t>Impact 7 is outside 1 to 5 (pasted values bypass validation): check input</t>
  </si>
  <si>
    <t>Medium</t>
  </si>
  <si>
    <t>On the Medium boundary (8)</t>
  </si>
  <si>
    <t>Just under Medium (6, Low)</t>
  </si>
  <si>
    <t>16, High</t>
  </si>
  <si>
    <t>12, Medium</t>
  </si>
  <si>
    <t>Blank likelihood: empty result</t>
  </si>
  <si>
    <t>Blank impact: empty result</t>
  </si>
  <si>
    <t>abc</t>
  </si>
  <si>
    <t>Text pasted over a number: check input, no error value</t>
  </si>
  <si>
    <t>Zero pasted: check input</t>
  </si>
  <si>
    <t>Decimal pasted: check input</t>
  </si>
  <si>
    <t>Negative pasted: check input</t>
  </si>
  <si>
    <t>Duplicate ID test (the registers highlight duplicates in orange with a text cue; this shows the same check)</t>
  </si>
  <si>
    <t>ID entered</t>
  </si>
  <si>
    <t>Expected</t>
  </si>
  <si>
    <t>Actual</t>
  </si>
  <si>
    <t>R01</t>
  </si>
  <si>
    <t>DUPLICATE</t>
  </si>
  <si>
    <t>R02</t>
  </si>
  <si>
    <t>ok</t>
  </si>
  <si>
    <t>Cached results were computed by a script from the same logic. An automated script opened this file in desktop Excel 16 on Windows and all Results said PASS. No person has opened it, and Google Sheets and LibreOffice are untested; open this sheet and confirm every Result says PASS.</t>
  </si>
  <si>
    <t>CSF 2.0 category</t>
  </si>
  <si>
    <t>Status</t>
  </si>
  <si>
    <t>GV.OC</t>
  </si>
  <si>
    <t>GV.RM</t>
  </si>
  <si>
    <t>GV.RR</t>
  </si>
  <si>
    <t>GV.PO</t>
  </si>
  <si>
    <t>GV.OV</t>
  </si>
  <si>
    <t>GV.SC</t>
  </si>
  <si>
    <t>ID.AM</t>
  </si>
  <si>
    <t>ID.RA</t>
  </si>
  <si>
    <t>ID.IM</t>
  </si>
  <si>
    <t>PR.AA</t>
  </si>
  <si>
    <t>PR.AT</t>
  </si>
  <si>
    <t>PR.DS</t>
  </si>
  <si>
    <t>PR.PS</t>
  </si>
  <si>
    <t>PR.IR</t>
  </si>
  <si>
    <t>DE.CM</t>
  </si>
  <si>
    <t>DE.AE</t>
  </si>
  <si>
    <t>RS.MA</t>
  </si>
  <si>
    <t>RS.AN</t>
  </si>
  <si>
    <t>RS.CO</t>
  </si>
  <si>
    <t>RS.MI</t>
  </si>
  <si>
    <t>RC.RP</t>
  </si>
  <si>
    <t>RC.CO</t>
  </si>
  <si>
    <t>Open</t>
  </si>
  <si>
    <t>In progress</t>
  </si>
  <si>
    <t>Done</t>
  </si>
  <si>
    <t>Accepted</t>
  </si>
  <si>
    <t>ID</t>
  </si>
  <si>
    <t>Risk (what could go wrong)</t>
  </si>
  <si>
    <t>Asset</t>
  </si>
  <si>
    <t>Likelihood (1-5)</t>
  </si>
  <si>
    <t>Impact (1-5)</t>
  </si>
  <si>
    <t>Score (L x I)</t>
  </si>
  <si>
    <t>Rating</t>
  </si>
  <si>
    <t>Owner (role)</t>
  </si>
  <si>
    <t>Planned treatment</t>
  </si>
  <si>
    <t>Next review</t>
  </si>
  <si>
    <t>Staff enter passwords on a phishing page, giving an attacker mailbox access</t>
  </si>
  <si>
    <t>Email accounts</t>
  </si>
  <si>
    <t>Office manager</t>
  </si>
  <si>
    <t>Require multi-factor sign-in for all mail accounts; phishing awareness session twice a year; report-this-email button</t>
  </si>
  <si>
    <t>R08</t>
  </si>
  <si>
    <t>No one knows who leads during an incident</t>
  </si>
  <si>
    <t>Incident response</t>
  </si>
  <si>
    <t>Managing partner</t>
  </si>
  <si>
    <t>Adopt a written first-hour checklist; run a 30 minute tabletop each year</t>
  </si>
  <si>
    <t>Ransomware encrypts the shared file server before the tax deadline</t>
  </si>
  <si>
    <t>File server, client files</t>
  </si>
  <si>
    <t>Office manager with IT provider</t>
  </si>
  <si>
    <t>Keep one offline or immutable backup copy; test a restore each quarter; limit who can write to shared folders</t>
  </si>
  <si>
    <t>R03</t>
  </si>
  <si>
    <t>Laptop with client tax data is lost or stolen</t>
  </si>
  <si>
    <t>Staff laptops</t>
  </si>
  <si>
    <t>Full-disk encryption on every laptop; remote wipe; no local storage of client files</t>
  </si>
  <si>
    <t>R06</t>
  </si>
  <si>
    <t>Unpatched software on staff computers is exploited</t>
  </si>
  <si>
    <t>Workstations</t>
  </si>
  <si>
    <t>Turn on automatic updates; monthly report of machines more than 30 days behind</t>
  </si>
  <si>
    <t>R07</t>
  </si>
  <si>
    <t>Client data emailed to the wrong recipient</t>
  </si>
  <si>
    <t>Client records</t>
  </si>
  <si>
    <t>Practice lead</t>
  </si>
  <si>
    <t>Use the secure client portal for tax documents; delay-send on outgoing mail for 60 seconds</t>
  </si>
  <si>
    <t>R11</t>
  </si>
  <si>
    <t>No inventory of systems and cloud services in use</t>
  </si>
  <si>
    <t>All assets</t>
  </si>
  <si>
    <t>Build a simple list of systems, owners and where client data lives; review twice a year</t>
  </si>
  <si>
    <t>R12</t>
  </si>
  <si>
    <t>Suspicious sign-ins go unnoticed for days</t>
  </si>
  <si>
    <t>Email and cloud accounts</t>
  </si>
  <si>
    <t>Turn on sign-in alerts for unusual location; one person receives them</t>
  </si>
  <si>
    <t>R05</t>
  </si>
  <si>
    <t>IT provider has broad admin access and suffers its own breach</t>
  </si>
  <si>
    <t>Third-party IT provider</t>
  </si>
  <si>
    <t>Ask for the provider's security practices in writing; require separate admin accounts with multi-factor; put breach-notice time in the contract</t>
  </si>
  <si>
    <t>R04</t>
  </si>
  <si>
    <t>A departed employee's accounts stay active</t>
  </si>
  <si>
    <t>User accounts</t>
  </si>
  <si>
    <t>HR lead</t>
  </si>
  <si>
    <t>Same-day offboarding checklist; monthly list of active accounts compared to payroll</t>
  </si>
  <si>
    <t>R13</t>
  </si>
  <si>
    <t>Remote staff use personal devices without protection</t>
  </si>
  <si>
    <t>Personal devices</t>
  </si>
  <si>
    <t>Written rule on personal devices; require screen lock and updates; prefer company laptops for client work</t>
  </si>
  <si>
    <t>R09</t>
  </si>
  <si>
    <t>Cyber insurance does not cover a payment-redirect fraud</t>
  </si>
  <si>
    <t>Insurance</t>
  </si>
  <si>
    <t>Read the policy exclusions with the broker; ask in writing about social engineering cover</t>
  </si>
  <si>
    <t>R14</t>
  </si>
  <si>
    <t>A key person is unavailable and nobody else can restore systems</t>
  </si>
  <si>
    <t>Operations</t>
  </si>
  <si>
    <t>Document restore steps; store admin recovery details in a sealed offline envelope</t>
  </si>
  <si>
    <t>R10</t>
  </si>
  <si>
    <t>Guest Wi-Fi shares a network with office computers</t>
  </si>
  <si>
    <t>Office network</t>
  </si>
  <si>
    <t>Separate guest network; change the router admin password</t>
  </si>
</sst>
</file>

<file path=xl/styles.xml><?xml version="1.0" encoding="utf-8"?>
<styleSheet xmlns="http://schemas.openxmlformats.org/spreadsheetml/2006/main">
  <numFmts count="1">
    <numFmt numFmtId="164" formatCode="yyyy-mm-dd"/>
  </numFmts>
  <fonts count="6">
    <font>
      <sz val="11"/>
      <color theme="1"/>
      <name val="Calibri"/>
      <family val="2"/>
      <scheme val="minor"/>
    </font>
    <font>
      <b/>
      <sz val="14"/>
      <color theme="1"/>
      <name val="Calibri"/>
      <family val="2"/>
      <scheme val="minor"/>
    </font>
    <font>
      <sz val="10"/>
      <color theme="1"/>
      <name val="Calibri"/>
      <family val="2"/>
      <scheme val="minor"/>
    </font>
    <font>
      <i/>
      <sz val="9"/>
      <color theme="1"/>
      <name val="Calibri"/>
      <family val="2"/>
      <scheme val="minor"/>
    </font>
    <font>
      <b/>
      <sz val="10"/>
      <color theme="1"/>
      <name val="Calibri"/>
      <family val="2"/>
      <scheme val="minor"/>
    </font>
    <font>
      <b/>
      <sz val="10"/>
      <color rgb="FFFFFFFF"/>
      <name val="Calibri"/>
      <family val="2"/>
      <scheme val="minor"/>
    </font>
  </fonts>
  <fills count="5">
    <fill>
      <patternFill patternType="none"/>
    </fill>
    <fill>
      <patternFill patternType="gray125"/>
    </fill>
    <fill>
      <patternFill patternType="solid">
        <fgColor rgb="FFFFF2CC"/>
        <bgColor indexed="64"/>
      </patternFill>
    </fill>
    <fill>
      <patternFill patternType="solid">
        <fgColor rgb="FF1F3864"/>
        <bgColor indexed="64"/>
      </patternFill>
    </fill>
    <fill>
      <patternFill patternType="solid">
        <fgColor rgb="FFE7E6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xf>
    <xf numFmtId="0" fontId="2" fillId="2" borderId="1" xfId="0" applyFont="1" applyFill="1" applyBorder="1" applyAlignment="1">
      <alignment horizontal="center" vertical="top"/>
    </xf>
    <xf numFmtId="0" fontId="5" fillId="3" borderId="1" xfId="0" applyFont="1" applyFill="1" applyBorder="1" applyAlignment="1">
      <alignment vertical="top"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2" fillId="4" borderId="1" xfId="0" applyFont="1" applyFill="1" applyBorder="1" applyAlignment="1">
      <alignment horizontal="center" vertical="top"/>
    </xf>
    <xf numFmtId="164" fontId="2" fillId="2" borderId="1" xfId="0" applyNumberFormat="1" applyFont="1" applyFill="1" applyBorder="1" applyAlignment="1">
      <alignment vertical="top"/>
    </xf>
  </cellXfs>
  <cellStyles count="1">
    <cellStyle name="Normal" xfId="0" builtinId="0"/>
  </cellStyles>
  <dxfs count="4">
    <dxf>
      <font>
        <b/>
      </font>
      <fill>
        <patternFill>
          <bgColor rgb="FFF4B6B6"/>
        </patternFill>
      </fill>
    </dxf>
    <dxf>
      <fill>
        <patternFill>
          <bgColor rgb="FFFFE699"/>
        </patternFill>
      </fill>
    </dxf>
    <dxf>
      <fill>
        <patternFill>
          <bgColor rgb="FFC6E0B4"/>
        </patternFill>
      </fill>
    </dxf>
    <dxf>
      <font>
        <b/>
      </font>
      <numFmt numFmtId="165" formatCode="@&quot; (duplicate)&quot;"/>
      <fill>
        <patternFill>
          <bgColor rgb="FFF8CBA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cols>
    <col min="1" max="1" width="120.7109375" customWidth="1"/>
  </cols>
  <sheetData>
    <row r="1" spans="1:1">
      <c r="A1" s="1" t="s">
        <v>0</v>
      </c>
    </row>
    <row r="2" spans="1:1">
      <c r="A2" s="2" t="s">
        <v>1</v>
      </c>
    </row>
    <row r="3" spans="1:1">
      <c r="A3" s="3" t="s">
        <v>2</v>
      </c>
    </row>
    <row r="4" spans="1:1">
      <c r="A4" s="2"/>
    </row>
    <row r="5" spans="1:1">
      <c r="A5" s="4" t="s">
        <v>3</v>
      </c>
    </row>
    <row r="6" spans="1:1">
      <c r="A6" s="2" t="s">
        <v>4</v>
      </c>
    </row>
    <row r="7" spans="1:1">
      <c r="A7" s="2" t="s">
        <v>5</v>
      </c>
    </row>
    <row r="8" spans="1:1">
      <c r="A8" s="2" t="s">
        <v>6</v>
      </c>
    </row>
    <row r="9" spans="1:1">
      <c r="A9" s="2" t="s">
        <v>7</v>
      </c>
    </row>
    <row r="10" spans="1:1">
      <c r="A10" s="2" t="s">
        <v>8</v>
      </c>
    </row>
    <row r="11" spans="1:1">
      <c r="A11" s="2" t="s">
        <v>9</v>
      </c>
    </row>
    <row r="12" spans="1:1">
      <c r="A12" s="3" t="s">
        <v>10</v>
      </c>
    </row>
    <row r="13" spans="1:1">
      <c r="A13"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7"/>
  <sheetViews>
    <sheetView workbookViewId="0"/>
  </sheetViews>
  <sheetFormatPr defaultRowHeight="15"/>
  <cols>
    <col min="1" max="1" width="34.7109375" customWidth="1"/>
    <col min="2" max="2" width="12.7109375" customWidth="1"/>
  </cols>
  <sheetData>
    <row r="1" spans="1:2">
      <c r="A1" s="1" t="s">
        <v>12</v>
      </c>
    </row>
    <row r="2" spans="1:2">
      <c r="A2" s="2" t="s">
        <v>13</v>
      </c>
      <c r="B2" s="5">
        <v>15</v>
      </c>
    </row>
    <row r="3" spans="1:2">
      <c r="A3" s="2" t="s">
        <v>14</v>
      </c>
      <c r="B3" s="5">
        <v>8</v>
      </c>
    </row>
    <row r="4" spans="1:2">
      <c r="A4" s="3" t="s">
        <v>15</v>
      </c>
    </row>
    <row r="5" spans="1:2">
      <c r="A5" s="2" t="s">
        <v>16</v>
      </c>
      <c r="B5" s="5">
        <v>1</v>
      </c>
    </row>
    <row r="6" spans="1:2">
      <c r="A6" s="2" t="s">
        <v>17</v>
      </c>
      <c r="B6" s="5">
        <v>5</v>
      </c>
    </row>
    <row r="7" spans="1:2">
      <c r="A7" s="3" t="s">
        <v>18</v>
      </c>
    </row>
  </sheetData>
  <dataValidations count="4">
    <dataValidation type="custom" allowBlank="1" showInputMessage="1" showErrorMessage="1" errorTitle="High threshold" error="Enter a whole number above the Medium threshold and no higher than the scale maximum squared." sqref="B2">
      <formula1>AND(ISNUMBER(B2),B2=INT(B2),B2&gt;B3,B2&lt;=B6*B6)</formula1>
    </dataValidation>
    <dataValidation type="whole" allowBlank="1" showInputMessage="1" showErrorMessage="1" errorTitle="Scale minimum" error="Enter a whole number from 0 to one below the scale maximum." sqref="B5">
      <formula1>0</formula1>
      <formula2>B6-1</formula2>
    </dataValidation>
    <dataValidation type="whole" allowBlank="1" showInputMessage="1" showErrorMessage="1" errorTitle="Scale maximum" error="Enter a whole number above the scale minimum, up to 20." sqref="B6">
      <formula1>B5+1</formula1>
      <formula2>20</formula2>
    </dataValidation>
    <dataValidation type="custom" allowBlank="1" showInputMessage="1" showErrorMessage="1" errorTitle="Medium threshold" error="Must be a number below the High threshold." sqref="B3">
      <formula1>AND(ISNUMBER(B3),B3&gt;=B5,B3&lt;B2)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6.7109375" customWidth="1"/>
    <col min="2" max="8" width="14.7109375" customWidth="1"/>
    <col min="9" max="9" width="70.7109375" customWidth="1"/>
  </cols>
  <sheetData>
    <row r="1" spans="1:9">
      <c r="A1" s="1" t="s">
        <v>19</v>
      </c>
    </row>
    <row r="3" spans="1:9">
      <c r="A3" s="6" t="s">
        <v>20</v>
      </c>
      <c r="B3" s="6" t="s">
        <v>21</v>
      </c>
      <c r="C3" s="6" t="s">
        <v>22</v>
      </c>
      <c r="D3" s="6" t="s">
        <v>23</v>
      </c>
      <c r="E3" s="6" t="s">
        <v>24</v>
      </c>
      <c r="F3" s="6" t="s">
        <v>25</v>
      </c>
      <c r="G3" s="6" t="s">
        <v>26</v>
      </c>
      <c r="H3" s="6" t="s">
        <v>27</v>
      </c>
      <c r="I3" s="6" t="s">
        <v>28</v>
      </c>
    </row>
    <row r="4" spans="1:9">
      <c r="A4" s="7">
        <v>1</v>
      </c>
      <c r="B4" s="7">
        <v>1</v>
      </c>
      <c r="C4" s="7">
        <v>1</v>
      </c>
      <c r="D4" s="7">
        <v>1</v>
      </c>
      <c r="E4" s="7" t="s">
        <v>29</v>
      </c>
      <c r="F4" s="7">
        <f>IF(OR(B4="",C4=""),"",IFERROR(IF(AND(ISNUMBER(B4),ISNUMBER(C4),B4=INT(B4),C4=INT(C4),B4&gt;=Settings!$B$5,B4&lt;=Settings!$B$6,C4&gt;=Settings!$B$5,C4&lt;=Settings!$B$6),B4*C4,"check input"),"check input"))</f>
        <v>1</v>
      </c>
      <c r="G4" s="7" t="str">
        <f>IF(F4="","",IF(ISNUMBER(F4),IF(F4&gt;=Settings!$B$2,"High",IF(F4&gt;=Settings!$B$3,"Medium","Low")),"check input"))</f>
        <v>Low</v>
      </c>
      <c r="H4" s="7" t="str">
        <f>IF(AND(F4&amp;""=D4&amp;"",G4&amp;""=E4&amp;""),"PASS","FAIL")</f>
        <v>PASS</v>
      </c>
      <c r="I4" s="7" t="s">
        <v>30</v>
      </c>
    </row>
    <row r="5" spans="1:9">
      <c r="A5" s="7">
        <v>2</v>
      </c>
      <c r="B5" s="7">
        <v>5</v>
      </c>
      <c r="C5" s="7">
        <v>5</v>
      </c>
      <c r="D5" s="7">
        <v>25</v>
      </c>
      <c r="E5" s="7" t="s">
        <v>31</v>
      </c>
      <c r="F5" s="7">
        <f>IF(OR(B5="",C5=""),"",IFERROR(IF(AND(ISNUMBER(B5),ISNUMBER(C5),B5=INT(B5),C5=INT(C5),B5&gt;=Settings!$B$5,B5&lt;=Settings!$B$6,C5&gt;=Settings!$B$5,C5&lt;=Settings!$B$6),B5*C5,"check input"),"check input"))</f>
        <v>25</v>
      </c>
      <c r="G5" s="7" t="str">
        <f>IF(F5="","",IF(ISNUMBER(F5),IF(F5&gt;=Settings!$B$2,"High",IF(F5&gt;=Settings!$B$3,"Medium","Low")),"check input"))</f>
        <v>High</v>
      </c>
      <c r="H5" s="7" t="str">
        <f>IF(AND(F5&amp;""=D5&amp;"",G5&amp;""=E5&amp;""),"PASS","FAIL")</f>
        <v>PASS</v>
      </c>
      <c r="I5" s="7" t="s">
        <v>32</v>
      </c>
    </row>
    <row r="6" spans="1:9">
      <c r="A6" s="7">
        <v>3</v>
      </c>
      <c r="B6" s="7">
        <v>3</v>
      </c>
      <c r="C6" s="7">
        <v>5</v>
      </c>
      <c r="D6" s="7">
        <v>15</v>
      </c>
      <c r="E6" s="7" t="s">
        <v>31</v>
      </c>
      <c r="F6" s="7">
        <f>IF(OR(B6="",C6=""),"",IFERROR(IF(AND(ISNUMBER(B6),ISNUMBER(C6),B6=INT(B6),C6=INT(C6),B6&gt;=Settings!$B$5,B6&lt;=Settings!$B$6,C6&gt;=Settings!$B$5,C6&lt;=Settings!$B$6),B6*C6,"check input"),"check input"))</f>
        <v>15</v>
      </c>
      <c r="G6" s="7" t="str">
        <f>IF(F6="","",IF(ISNUMBER(F6),IF(F6&gt;=Settings!$B$2,"High",IF(F6&gt;=Settings!$B$3,"Medium","Low")),"check input"))</f>
        <v>High</v>
      </c>
      <c r="H6" s="7" t="str">
        <f>IF(AND(F6&amp;""=D6&amp;"",G6&amp;""=E6&amp;""),"PASS","FAIL")</f>
        <v>PASS</v>
      </c>
      <c r="I6" s="7" t="s">
        <v>33</v>
      </c>
    </row>
    <row r="7" spans="1:9">
      <c r="A7" s="7">
        <v>4</v>
      </c>
      <c r="B7" s="7">
        <v>2</v>
      </c>
      <c r="C7" s="7">
        <v>7</v>
      </c>
      <c r="D7" s="7" t="s">
        <v>34</v>
      </c>
      <c r="E7" s="7" t="s">
        <v>34</v>
      </c>
      <c r="F7" s="7" t="str">
        <f>IF(OR(B7="",C7=""),"",IFERROR(IF(AND(ISNUMBER(B7),ISNUMBER(C7),B7=INT(B7),C7=INT(C7),B7&gt;=Settings!$B$5,B7&lt;=Settings!$B$6,C7&gt;=Settings!$B$5,C7&lt;=Settings!$B$6),B7*C7,"check input"),"check input"))</f>
        <v>check input</v>
      </c>
      <c r="G7" s="7" t="str">
        <f>IF(F7="","",IF(ISNUMBER(F7),IF(F7&gt;=Settings!$B$2,"High",IF(F7&gt;=Settings!$B$3,"Medium","Low")),"check input"))</f>
        <v>check input</v>
      </c>
      <c r="H7" s="7" t="str">
        <f>IF(AND(F7&amp;""=D7&amp;"",G7&amp;""=E7&amp;""),"PASS","FAIL")</f>
        <v>PASS</v>
      </c>
      <c r="I7" s="7" t="s">
        <v>35</v>
      </c>
    </row>
    <row r="8" spans="1:9">
      <c r="A8" s="7">
        <v>5</v>
      </c>
      <c r="B8" s="7">
        <v>2</v>
      </c>
      <c r="C8" s="7">
        <v>4</v>
      </c>
      <c r="D8" s="7">
        <v>8</v>
      </c>
      <c r="E8" s="7" t="s">
        <v>36</v>
      </c>
      <c r="F8" s="7">
        <f>IF(OR(B8="",C8=""),"",IFERROR(IF(AND(ISNUMBER(B8),ISNUMBER(C8),B8=INT(B8),C8=INT(C8),B8&gt;=Settings!$B$5,B8&lt;=Settings!$B$6,C8&gt;=Settings!$B$5,C8&lt;=Settings!$B$6),B8*C8,"check input"),"check input"))</f>
        <v>8</v>
      </c>
      <c r="G8" s="7" t="str">
        <f>IF(F8="","",IF(ISNUMBER(F8),IF(F8&gt;=Settings!$B$2,"High",IF(F8&gt;=Settings!$B$3,"Medium","Low")),"check input"))</f>
        <v>Medium</v>
      </c>
      <c r="H8" s="7" t="str">
        <f>IF(AND(F8&amp;""=D8&amp;"",G8&amp;""=E8&amp;""),"PASS","FAIL")</f>
        <v>PASS</v>
      </c>
      <c r="I8" s="7" t="s">
        <v>37</v>
      </c>
    </row>
    <row r="9" spans="1:9">
      <c r="A9" s="7">
        <v>6</v>
      </c>
      <c r="B9" s="7">
        <v>2</v>
      </c>
      <c r="C9" s="7">
        <v>3</v>
      </c>
      <c r="D9" s="7">
        <v>6</v>
      </c>
      <c r="E9" s="7" t="s">
        <v>29</v>
      </c>
      <c r="F9" s="7">
        <f>IF(OR(B9="",C9=""),"",IFERROR(IF(AND(ISNUMBER(B9),ISNUMBER(C9),B9=INT(B9),C9=INT(C9),B9&gt;=Settings!$B$5,B9&lt;=Settings!$B$6,C9&gt;=Settings!$B$5,C9&lt;=Settings!$B$6),B9*C9,"check input"),"check input"))</f>
        <v>6</v>
      </c>
      <c r="G9" s="7" t="str">
        <f>IF(F9="","",IF(ISNUMBER(F9),IF(F9&gt;=Settings!$B$2,"High",IF(F9&gt;=Settings!$B$3,"Medium","Low")),"check input"))</f>
        <v>Low</v>
      </c>
      <c r="H9" s="7" t="str">
        <f>IF(AND(F9&amp;""=D9&amp;"",G9&amp;""=E9&amp;""),"PASS","FAIL")</f>
        <v>PASS</v>
      </c>
      <c r="I9" s="7" t="s">
        <v>38</v>
      </c>
    </row>
    <row r="10" spans="1:9">
      <c r="A10" s="7">
        <v>7</v>
      </c>
      <c r="B10" s="7">
        <v>4</v>
      </c>
      <c r="C10" s="7">
        <v>4</v>
      </c>
      <c r="D10" s="7">
        <v>16</v>
      </c>
      <c r="E10" s="7" t="s">
        <v>31</v>
      </c>
      <c r="F10" s="7">
        <f>IF(OR(B10="",C10=""),"",IFERROR(IF(AND(ISNUMBER(B10),ISNUMBER(C10),B10=INT(B10),C10=INT(C10),B10&gt;=Settings!$B$5,B10&lt;=Settings!$B$6,C10&gt;=Settings!$B$5,C10&lt;=Settings!$B$6),B10*C10,"check input"),"check input"))</f>
        <v>16</v>
      </c>
      <c r="G10" s="7" t="str">
        <f>IF(F10="","",IF(ISNUMBER(F10),IF(F10&gt;=Settings!$B$2,"High",IF(F10&gt;=Settings!$B$3,"Medium","Low")),"check input"))</f>
        <v>High</v>
      </c>
      <c r="H10" s="7" t="str">
        <f>IF(AND(F10&amp;""=D10&amp;"",G10&amp;""=E10&amp;""),"PASS","FAIL")</f>
        <v>PASS</v>
      </c>
      <c r="I10" s="7" t="s">
        <v>39</v>
      </c>
    </row>
    <row r="11" spans="1:9">
      <c r="A11" s="7">
        <v>8</v>
      </c>
      <c r="B11" s="7">
        <v>3</v>
      </c>
      <c r="C11" s="7">
        <v>4</v>
      </c>
      <c r="D11" s="7">
        <v>12</v>
      </c>
      <c r="E11" s="7" t="s">
        <v>36</v>
      </c>
      <c r="F11" s="7">
        <f>IF(OR(B11="",C11=""),"",IFERROR(IF(AND(ISNUMBER(B11),ISNUMBER(C11),B11=INT(B11),C11=INT(C11),B11&gt;=Settings!$B$5,B11&lt;=Settings!$B$6,C11&gt;=Settings!$B$5,C11&lt;=Settings!$B$6),B11*C11,"check input"),"check input"))</f>
        <v>12</v>
      </c>
      <c r="G11" s="7" t="str">
        <f>IF(F11="","",IF(ISNUMBER(F11),IF(F11&gt;=Settings!$B$2,"High",IF(F11&gt;=Settings!$B$3,"Medium","Low")),"check input"))</f>
        <v>Medium</v>
      </c>
      <c r="H11" s="7" t="str">
        <f>IF(AND(F11&amp;""=D11&amp;"",G11&amp;""=E11&amp;""),"PASS","FAIL")</f>
        <v>PASS</v>
      </c>
      <c r="I11" s="7" t="s">
        <v>40</v>
      </c>
    </row>
    <row r="12" spans="1:9">
      <c r="A12" s="7">
        <v>9</v>
      </c>
      <c r="B12" s="7"/>
      <c r="C12" s="7">
        <v>3</v>
      </c>
      <c r="D12" s="7"/>
      <c r="E12" s="7"/>
      <c r="F12" s="7">
        <f>IF(OR(B12="",C12=""),"",IFERROR(IF(AND(ISNUMBER(B12),ISNUMBER(C12),B12=INT(B12),C12=INT(C12),B12&gt;=Settings!$B$5,B12&lt;=Settings!$B$6,C12&gt;=Settings!$B$5,C12&lt;=Settings!$B$6),B12*C12,"check input"),"check input"))</f>
        <v/>
      </c>
      <c r="G12" s="7">
        <f>IF(F12="","",IF(ISNUMBER(F12),IF(F12&gt;=Settings!$B$2,"High",IF(F12&gt;=Settings!$B$3,"Medium","Low")),"check input"))</f>
        <v/>
      </c>
      <c r="H12" s="7" t="str">
        <f>IF(AND(F12&amp;""=D12&amp;"",G12&amp;""=E12&amp;""),"PASS","FAIL")</f>
        <v>PASS</v>
      </c>
      <c r="I12" s="7" t="s">
        <v>41</v>
      </c>
    </row>
    <row r="13" spans="1:9">
      <c r="A13" s="7">
        <v>10</v>
      </c>
      <c r="B13" s="7">
        <v>3</v>
      </c>
      <c r="C13" s="7"/>
      <c r="D13" s="7"/>
      <c r="E13" s="7"/>
      <c r="F13" s="7">
        <f>IF(OR(B13="",C13=""),"",IFERROR(IF(AND(ISNUMBER(B13),ISNUMBER(C13),B13=INT(B13),C13=INT(C13),B13&gt;=Settings!$B$5,B13&lt;=Settings!$B$6,C13&gt;=Settings!$B$5,C13&lt;=Settings!$B$6),B13*C13,"check input"),"check input"))</f>
        <v/>
      </c>
      <c r="G13" s="7">
        <f>IF(F13="","",IF(ISNUMBER(F13),IF(F13&gt;=Settings!$B$2,"High",IF(F13&gt;=Settings!$B$3,"Medium","Low")),"check input"))</f>
        <v/>
      </c>
      <c r="H13" s="7" t="str">
        <f>IF(AND(F13&amp;""=D13&amp;"",G13&amp;""=E13&amp;""),"PASS","FAIL")</f>
        <v>PASS</v>
      </c>
      <c r="I13" s="7" t="s">
        <v>42</v>
      </c>
    </row>
    <row r="14" spans="1:9">
      <c r="A14" s="7">
        <v>11</v>
      </c>
      <c r="B14" s="7" t="s">
        <v>43</v>
      </c>
      <c r="C14" s="7">
        <v>3</v>
      </c>
      <c r="D14" s="7" t="s">
        <v>34</v>
      </c>
      <c r="E14" s="7" t="s">
        <v>34</v>
      </c>
      <c r="F14" s="7" t="str">
        <f>IF(OR(B14="",C14=""),"",IFERROR(IF(AND(ISNUMBER(B14),ISNUMBER(C14),B14=INT(B14),C14=INT(C14),B14&gt;=Settings!$B$5,B14&lt;=Settings!$B$6,C14&gt;=Settings!$B$5,C14&lt;=Settings!$B$6),B14*C14,"check input"),"check input"))</f>
        <v>check input</v>
      </c>
      <c r="G14" s="7" t="str">
        <f>IF(F14="","",IF(ISNUMBER(F14),IF(F14&gt;=Settings!$B$2,"High",IF(F14&gt;=Settings!$B$3,"Medium","Low")),"check input"))</f>
        <v>check input</v>
      </c>
      <c r="H14" s="7" t="str">
        <f>IF(AND(F14&amp;""=D14&amp;"",G14&amp;""=E14&amp;""),"PASS","FAIL")</f>
        <v>PASS</v>
      </c>
      <c r="I14" s="7" t="s">
        <v>44</v>
      </c>
    </row>
    <row r="15" spans="1:9">
      <c r="A15" s="7">
        <v>12</v>
      </c>
      <c r="B15" s="7">
        <v>0</v>
      </c>
      <c r="C15" s="7">
        <v>3</v>
      </c>
      <c r="D15" s="7" t="s">
        <v>34</v>
      </c>
      <c r="E15" s="7" t="s">
        <v>34</v>
      </c>
      <c r="F15" s="7" t="str">
        <f>IF(OR(B15="",C15=""),"",IFERROR(IF(AND(ISNUMBER(B15),ISNUMBER(C15),B15=INT(B15),C15=INT(C15),B15&gt;=Settings!$B$5,B15&lt;=Settings!$B$6,C15&gt;=Settings!$B$5,C15&lt;=Settings!$B$6),B15*C15,"check input"),"check input"))</f>
        <v>check input</v>
      </c>
      <c r="G15" s="7" t="str">
        <f>IF(F15="","",IF(ISNUMBER(F15),IF(F15&gt;=Settings!$B$2,"High",IF(F15&gt;=Settings!$B$3,"Medium","Low")),"check input"))</f>
        <v>check input</v>
      </c>
      <c r="H15" s="7" t="str">
        <f>IF(AND(F15&amp;""=D15&amp;"",G15&amp;""=E15&amp;""),"PASS","FAIL")</f>
        <v>PASS</v>
      </c>
      <c r="I15" s="7" t="s">
        <v>45</v>
      </c>
    </row>
    <row r="16" spans="1:9">
      <c r="A16" s="7">
        <v>13</v>
      </c>
      <c r="B16" s="7">
        <v>2.5</v>
      </c>
      <c r="C16" s="7">
        <v>3</v>
      </c>
      <c r="D16" s="7" t="s">
        <v>34</v>
      </c>
      <c r="E16" s="7" t="s">
        <v>34</v>
      </c>
      <c r="F16" s="7" t="str">
        <f>IF(OR(B16="",C16=""),"",IFERROR(IF(AND(ISNUMBER(B16),ISNUMBER(C16),B16=INT(B16),C16=INT(C16),B16&gt;=Settings!$B$5,B16&lt;=Settings!$B$6,C16&gt;=Settings!$B$5,C16&lt;=Settings!$B$6),B16*C16,"check input"),"check input"))</f>
        <v>check input</v>
      </c>
      <c r="G16" s="7" t="str">
        <f>IF(F16="","",IF(ISNUMBER(F16),IF(F16&gt;=Settings!$B$2,"High",IF(F16&gt;=Settings!$B$3,"Medium","Low")),"check input"))</f>
        <v>check input</v>
      </c>
      <c r="H16" s="7" t="str">
        <f>IF(AND(F16&amp;""=D16&amp;"",G16&amp;""=E16&amp;""),"PASS","FAIL")</f>
        <v>PASS</v>
      </c>
      <c r="I16" s="7" t="s">
        <v>46</v>
      </c>
    </row>
    <row r="17" spans="1:9">
      <c r="A17" s="7">
        <v>14</v>
      </c>
      <c r="B17" s="7">
        <v>-1</v>
      </c>
      <c r="C17" s="7">
        <v>3</v>
      </c>
      <c r="D17" s="7" t="s">
        <v>34</v>
      </c>
      <c r="E17" s="7" t="s">
        <v>34</v>
      </c>
      <c r="F17" s="7" t="str">
        <f>IF(OR(B17="",C17=""),"",IFERROR(IF(AND(ISNUMBER(B17),ISNUMBER(C17),B17=INT(B17),C17=INT(C17),B17&gt;=Settings!$B$5,B17&lt;=Settings!$B$6,C17&gt;=Settings!$B$5,C17&lt;=Settings!$B$6),B17*C17,"check input"),"check input"))</f>
        <v>check input</v>
      </c>
      <c r="G17" s="7" t="str">
        <f>IF(F17="","",IF(ISNUMBER(F17),IF(F17&gt;=Settings!$B$2,"High",IF(F17&gt;=Settings!$B$3,"Medium","Low")),"check input"))</f>
        <v>check input</v>
      </c>
      <c r="H17" s="7" t="str">
        <f>IF(AND(F17&amp;""=D17&amp;"",G17&amp;""=E17&amp;""),"PASS","FAIL")</f>
        <v>PASS</v>
      </c>
      <c r="I17" s="7" t="s">
        <v>47</v>
      </c>
    </row>
    <row r="19" spans="1:9">
      <c r="A19" s="4" t="s">
        <v>48</v>
      </c>
    </row>
    <row r="20" spans="1:9">
      <c r="A20" s="6" t="s">
        <v>20</v>
      </c>
      <c r="B20" s="6" t="s">
        <v>49</v>
      </c>
      <c r="C20" s="6" t="s">
        <v>50</v>
      </c>
      <c r="D20" s="6" t="s">
        <v>51</v>
      </c>
      <c r="E20" s="6" t="s">
        <v>27</v>
      </c>
    </row>
    <row r="21" spans="1:9">
      <c r="A21" s="7">
        <v>15</v>
      </c>
      <c r="B21" s="7" t="s">
        <v>52</v>
      </c>
      <c r="C21" s="7" t="s">
        <v>53</v>
      </c>
      <c r="D21" s="7" t="str">
        <f>IF(COUNTIF($B$21:$B$23,B21)&gt;1,"DUPLICATE","ok")</f>
        <v>DUPLICATE</v>
      </c>
      <c r="E21" s="7" t="str">
        <f>IF(C21=D21,"PASS","FAIL")</f>
        <v>PASS</v>
      </c>
    </row>
    <row r="22" spans="1:9">
      <c r="A22" s="7">
        <v>16</v>
      </c>
      <c r="B22" s="7" t="s">
        <v>52</v>
      </c>
      <c r="C22" s="7" t="s">
        <v>53</v>
      </c>
      <c r="D22" s="7" t="str">
        <f>IF(COUNTIF($B$21:$B$23,B22)&gt;1,"DUPLICATE","ok")</f>
        <v>DUPLICATE</v>
      </c>
      <c r="E22" s="7" t="str">
        <f>IF(C22=D22,"PASS","FAIL")</f>
        <v>PASS</v>
      </c>
    </row>
    <row r="23" spans="1:9">
      <c r="A23" s="7">
        <v>17</v>
      </c>
      <c r="B23" s="7" t="s">
        <v>54</v>
      </c>
      <c r="C23" s="7" t="s">
        <v>55</v>
      </c>
      <c r="D23" s="7" t="str">
        <f>IF(COUNTIF($B$21:$B$23,B23)&gt;1,"DUPLICATE","ok")</f>
        <v>ok</v>
      </c>
      <c r="E23" s="7" t="str">
        <f>IF(C23=D23,"PASS","FAIL")</f>
        <v>PASS</v>
      </c>
    </row>
    <row r="25" spans="1:9">
      <c r="A25" s="3"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3"/>
  <sheetViews>
    <sheetView workbookViewId="0"/>
  </sheetViews>
  <sheetFormatPr defaultRowHeight="15"/>
  <cols>
    <col min="1" max="2" width="18.7109375" customWidth="1"/>
  </cols>
  <sheetData>
    <row r="1" spans="1:2">
      <c r="A1" s="6" t="s">
        <v>57</v>
      </c>
      <c r="B1" s="6" t="s">
        <v>58</v>
      </c>
    </row>
    <row r="2" spans="1:2">
      <c r="A2" s="7" t="s">
        <v>59</v>
      </c>
      <c r="B2" s="7" t="s">
        <v>81</v>
      </c>
    </row>
    <row r="3" spans="1:2">
      <c r="A3" s="7" t="s">
        <v>60</v>
      </c>
      <c r="B3" s="7" t="s">
        <v>82</v>
      </c>
    </row>
    <row r="4" spans="1:2">
      <c r="A4" s="7" t="s">
        <v>61</v>
      </c>
      <c r="B4" s="7" t="s">
        <v>83</v>
      </c>
    </row>
    <row r="5" spans="1:2">
      <c r="A5" s="7" t="s">
        <v>62</v>
      </c>
      <c r="B5" s="7" t="s">
        <v>84</v>
      </c>
    </row>
    <row r="6" spans="1:2">
      <c r="A6" s="7" t="s">
        <v>63</v>
      </c>
    </row>
    <row r="7" spans="1:2">
      <c r="A7" s="7" t="s">
        <v>64</v>
      </c>
    </row>
    <row r="8" spans="1:2">
      <c r="A8" s="7" t="s">
        <v>65</v>
      </c>
    </row>
    <row r="9" spans="1:2">
      <c r="A9" s="7" t="s">
        <v>66</v>
      </c>
    </row>
    <row r="10" spans="1:2">
      <c r="A10" s="7" t="s">
        <v>67</v>
      </c>
    </row>
    <row r="11" spans="1:2">
      <c r="A11" s="7" t="s">
        <v>68</v>
      </c>
    </row>
    <row r="12" spans="1:2">
      <c r="A12" s="7" t="s">
        <v>69</v>
      </c>
    </row>
    <row r="13" spans="1:2">
      <c r="A13" s="7" t="s">
        <v>70</v>
      </c>
    </row>
    <row r="14" spans="1:2">
      <c r="A14" s="7" t="s">
        <v>71</v>
      </c>
    </row>
    <row r="15" spans="1:2">
      <c r="A15" s="7" t="s">
        <v>72</v>
      </c>
    </row>
    <row r="16" spans="1:2">
      <c r="A16" s="7" t="s">
        <v>73</v>
      </c>
    </row>
    <row r="17" spans="1:1">
      <c r="A17" s="7" t="s">
        <v>74</v>
      </c>
    </row>
    <row r="18" spans="1:1">
      <c r="A18" s="7" t="s">
        <v>75</v>
      </c>
    </row>
    <row r="19" spans="1:1">
      <c r="A19" s="7" t="s">
        <v>76</v>
      </c>
    </row>
    <row r="20" spans="1:1">
      <c r="A20" s="7" t="s">
        <v>77</v>
      </c>
    </row>
    <row r="21" spans="1:1">
      <c r="A21" s="7" t="s">
        <v>78</v>
      </c>
    </row>
    <row r="22" spans="1:1">
      <c r="A22" s="7" t="s">
        <v>79</v>
      </c>
    </row>
    <row r="23" spans="1:1">
      <c r="A23" s="7"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pageSetUpPr fitToPage="1"/>
  </sheetPr>
  <dimension ref="A1:L1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customWidth="1"/>
    <col min="2" max="2" width="46.7109375" customWidth="1"/>
    <col min="3" max="3" width="22.7109375" customWidth="1"/>
    <col min="4" max="4" width="14.7109375" customWidth="1"/>
    <col min="5" max="5" width="11.7109375" customWidth="1"/>
    <col min="6" max="8" width="10.7109375" customWidth="1"/>
    <col min="9" max="9" width="24.7109375" customWidth="1"/>
    <col min="10" max="10" width="60.7109375" customWidth="1"/>
    <col min="11" max="11" width="12.7109375" customWidth="1"/>
    <col min="12" max="12" width="13.7109375" customWidth="1"/>
  </cols>
  <sheetData>
    <row r="1" spans="1:12" ht="32" customHeight="1">
      <c r="A1" s="6" t="s">
        <v>85</v>
      </c>
      <c r="B1" s="6" t="s">
        <v>86</v>
      </c>
      <c r="C1" s="6" t="s">
        <v>87</v>
      </c>
      <c r="D1" s="6" t="s">
        <v>57</v>
      </c>
      <c r="E1" s="6" t="s">
        <v>88</v>
      </c>
      <c r="F1" s="6" t="s">
        <v>89</v>
      </c>
      <c r="G1" s="6" t="s">
        <v>90</v>
      </c>
      <c r="H1" s="6" t="s">
        <v>91</v>
      </c>
      <c r="I1" s="6" t="s">
        <v>92</v>
      </c>
      <c r="J1" s="6" t="s">
        <v>93</v>
      </c>
      <c r="K1" s="6" t="s">
        <v>58</v>
      </c>
      <c r="L1" s="6" t="s">
        <v>94</v>
      </c>
    </row>
    <row r="2" spans="1:12" ht="36" customHeight="1">
      <c r="A2" s="8" t="s">
        <v>52</v>
      </c>
      <c r="B2" s="8" t="s">
        <v>95</v>
      </c>
      <c r="C2" s="8" t="s">
        <v>96</v>
      </c>
      <c r="D2" s="8" t="s">
        <v>68</v>
      </c>
      <c r="E2" s="5">
        <v>4</v>
      </c>
      <c r="F2" s="5">
        <v>4</v>
      </c>
      <c r="G2" s="9">
        <f>IF(OR(E2="",F2=""),"",IFERROR(IF(AND(ISNUMBER(E2),ISNUMBER(F2),E2=INT(E2),F2=INT(F2),E2&gt;=Settings!$B$5,E2&lt;=Settings!$B$6,F2&gt;=Settings!$B$5,F2&lt;=Settings!$B$6),E2*F2,"check input"),"check input"))</f>
        <v>16</v>
      </c>
      <c r="H2" s="9" t="str">
        <f>IF(G2="","",IF(ISNUMBER(G2),IF(G2&gt;=Settings!$B$2,"High",IF(G2&gt;=Settings!$B$3,"Medium","Low")),"check input"))</f>
        <v>High</v>
      </c>
      <c r="I2" s="8" t="s">
        <v>97</v>
      </c>
      <c r="J2" s="8" t="s">
        <v>98</v>
      </c>
      <c r="K2" s="8" t="s">
        <v>82</v>
      </c>
      <c r="L2" s="10">
        <v>46371</v>
      </c>
    </row>
    <row r="3" spans="1:12" ht="36" customHeight="1">
      <c r="A3" s="8" t="s">
        <v>99</v>
      </c>
      <c r="B3" s="8" t="s">
        <v>100</v>
      </c>
      <c r="C3" s="8" t="s">
        <v>101</v>
      </c>
      <c r="D3" s="8" t="s">
        <v>61</v>
      </c>
      <c r="E3" s="5">
        <v>4</v>
      </c>
      <c r="F3" s="5">
        <v>4</v>
      </c>
      <c r="G3" s="9">
        <f>IF(OR(E3="",F3=""),"",IFERROR(IF(AND(ISNUMBER(E3),ISNUMBER(F3),E3=INT(E3),F3=INT(F3),E3&gt;=Settings!$B$5,E3&lt;=Settings!$B$6,F3&gt;=Settings!$B$5,F3&lt;=Settings!$B$6),E3*F3,"check input"),"check input"))</f>
        <v>16</v>
      </c>
      <c r="H3" s="9" t="str">
        <f>IF(G3="","",IF(ISNUMBER(G3),IF(G3&gt;=Settings!$B$2,"High",IF(G3&gt;=Settings!$B$3,"Medium","Low")),"check input"))</f>
        <v>High</v>
      </c>
      <c r="I3" s="8" t="s">
        <v>102</v>
      </c>
      <c r="J3" s="8" t="s">
        <v>103</v>
      </c>
      <c r="K3" s="8" t="s">
        <v>82</v>
      </c>
      <c r="L3" s="10">
        <v>46371</v>
      </c>
    </row>
    <row r="4" spans="1:12" ht="36" customHeight="1">
      <c r="A4" s="8" t="s">
        <v>54</v>
      </c>
      <c r="B4" s="8" t="s">
        <v>104</v>
      </c>
      <c r="C4" s="8" t="s">
        <v>105</v>
      </c>
      <c r="D4" s="8" t="s">
        <v>70</v>
      </c>
      <c r="E4" s="5">
        <v>3</v>
      </c>
      <c r="F4" s="5">
        <v>5</v>
      </c>
      <c r="G4" s="9">
        <f>IF(OR(E4="",F4=""),"",IFERROR(IF(AND(ISNUMBER(E4),ISNUMBER(F4),E4=INT(E4),F4=INT(F4),E4&gt;=Settings!$B$5,E4&lt;=Settings!$B$6,F4&gt;=Settings!$B$5,F4&lt;=Settings!$B$6),E4*F4,"check input"),"check input"))</f>
        <v>15</v>
      </c>
      <c r="H4" s="9" t="str">
        <f>IF(G4="","",IF(ISNUMBER(G4),IF(G4&gt;=Settings!$B$2,"High",IF(G4&gt;=Settings!$B$3,"Medium","Low")),"check input"))</f>
        <v>High</v>
      </c>
      <c r="I4" s="8" t="s">
        <v>106</v>
      </c>
      <c r="J4" s="8" t="s">
        <v>107</v>
      </c>
      <c r="K4" s="8" t="s">
        <v>82</v>
      </c>
      <c r="L4" s="10">
        <v>46371</v>
      </c>
    </row>
    <row r="5" spans="1:12" ht="36" customHeight="1">
      <c r="A5" s="8" t="s">
        <v>108</v>
      </c>
      <c r="B5" s="8" t="s">
        <v>109</v>
      </c>
      <c r="C5" s="8" t="s">
        <v>110</v>
      </c>
      <c r="D5" s="8" t="s">
        <v>70</v>
      </c>
      <c r="E5" s="5">
        <v>3</v>
      </c>
      <c r="F5" s="5">
        <v>4</v>
      </c>
      <c r="G5" s="9">
        <f>IF(OR(E5="",F5=""),"",IFERROR(IF(AND(ISNUMBER(E5),ISNUMBER(F5),E5=INT(E5),F5=INT(F5),E5&gt;=Settings!$B$5,E5&lt;=Settings!$B$6,F5&gt;=Settings!$B$5,F5&lt;=Settings!$B$6),E5*F5,"check input"),"check input"))</f>
        <v>12</v>
      </c>
      <c r="H5" s="9" t="str">
        <f>IF(G5="","",IF(ISNUMBER(G5),IF(G5&gt;=Settings!$B$2,"High",IF(G5&gt;=Settings!$B$3,"Medium","Low")),"check input"))</f>
        <v>Medium</v>
      </c>
      <c r="I5" s="8" t="s">
        <v>106</v>
      </c>
      <c r="J5" s="8" t="s">
        <v>111</v>
      </c>
      <c r="K5" s="8" t="s">
        <v>81</v>
      </c>
      <c r="L5" s="10">
        <v>46402</v>
      </c>
    </row>
    <row r="6" spans="1:12" ht="36" customHeight="1">
      <c r="A6" s="8" t="s">
        <v>112</v>
      </c>
      <c r="B6" s="8" t="s">
        <v>113</v>
      </c>
      <c r="C6" s="8" t="s">
        <v>114</v>
      </c>
      <c r="D6" s="8" t="s">
        <v>71</v>
      </c>
      <c r="E6" s="5">
        <v>3</v>
      </c>
      <c r="F6" s="5">
        <v>4</v>
      </c>
      <c r="G6" s="9">
        <f>IF(OR(E6="",F6=""),"",IFERROR(IF(AND(ISNUMBER(E6),ISNUMBER(F6),E6=INT(E6),F6=INT(F6),E6&gt;=Settings!$B$5,E6&lt;=Settings!$B$6,F6&gt;=Settings!$B$5,F6&lt;=Settings!$B$6),E6*F6,"check input"),"check input"))</f>
        <v>12</v>
      </c>
      <c r="H6" s="9" t="str">
        <f>IF(G6="","",IF(ISNUMBER(G6),IF(G6&gt;=Settings!$B$2,"High",IF(G6&gt;=Settings!$B$3,"Medium","Low")),"check input"))</f>
        <v>Medium</v>
      </c>
      <c r="I6" s="8" t="s">
        <v>106</v>
      </c>
      <c r="J6" s="8" t="s">
        <v>115</v>
      </c>
      <c r="K6" s="8" t="s">
        <v>82</v>
      </c>
      <c r="L6" s="10">
        <v>46402</v>
      </c>
    </row>
    <row r="7" spans="1:12" ht="36" customHeight="1">
      <c r="A7" s="8" t="s">
        <v>116</v>
      </c>
      <c r="B7" s="8" t="s">
        <v>117</v>
      </c>
      <c r="C7" s="8" t="s">
        <v>118</v>
      </c>
      <c r="D7" s="8" t="s">
        <v>70</v>
      </c>
      <c r="E7" s="5">
        <v>4</v>
      </c>
      <c r="F7" s="5">
        <v>3</v>
      </c>
      <c r="G7" s="9">
        <f>IF(OR(E7="",F7=""),"",IFERROR(IF(AND(ISNUMBER(E7),ISNUMBER(F7),E7=INT(E7),F7=INT(F7),E7&gt;=Settings!$B$5,E7&lt;=Settings!$B$6,F7&gt;=Settings!$B$5,F7&lt;=Settings!$B$6),E7*F7,"check input"),"check input"))</f>
        <v>12</v>
      </c>
      <c r="H7" s="9" t="str">
        <f>IF(G7="","",IF(ISNUMBER(G7),IF(G7&gt;=Settings!$B$2,"High",IF(G7&gt;=Settings!$B$3,"Medium","Low")),"check input"))</f>
        <v>Medium</v>
      </c>
      <c r="I7" s="8" t="s">
        <v>119</v>
      </c>
      <c r="J7" s="8" t="s">
        <v>120</v>
      </c>
      <c r="K7" s="8" t="s">
        <v>81</v>
      </c>
      <c r="L7" s="10">
        <v>46402</v>
      </c>
    </row>
    <row r="8" spans="1:12" ht="36" customHeight="1">
      <c r="A8" s="8" t="s">
        <v>121</v>
      </c>
      <c r="B8" s="8" t="s">
        <v>122</v>
      </c>
      <c r="C8" s="8" t="s">
        <v>123</v>
      </c>
      <c r="D8" s="8" t="s">
        <v>65</v>
      </c>
      <c r="E8" s="5">
        <v>4</v>
      </c>
      <c r="F8" s="5">
        <v>3</v>
      </c>
      <c r="G8" s="9">
        <f>IF(OR(E8="",F8=""),"",IFERROR(IF(AND(ISNUMBER(E8),ISNUMBER(F8),E8=INT(E8),F8=INT(F8),E8&gt;=Settings!$B$5,E8&lt;=Settings!$B$6,F8&gt;=Settings!$B$5,F8&lt;=Settings!$B$6),E8*F8,"check input"),"check input"))</f>
        <v>12</v>
      </c>
      <c r="H8" s="9" t="str">
        <f>IF(G8="","",IF(ISNUMBER(G8),IF(G8&gt;=Settings!$B$2,"High",IF(G8&gt;=Settings!$B$3,"Medium","Low")),"check input"))</f>
        <v>Medium</v>
      </c>
      <c r="I8" s="8" t="s">
        <v>97</v>
      </c>
      <c r="J8" s="8" t="s">
        <v>124</v>
      </c>
      <c r="K8" s="8" t="s">
        <v>81</v>
      </c>
      <c r="L8" s="10">
        <v>46402</v>
      </c>
    </row>
    <row r="9" spans="1:12" ht="36" customHeight="1">
      <c r="A9" s="8" t="s">
        <v>125</v>
      </c>
      <c r="B9" s="8" t="s">
        <v>126</v>
      </c>
      <c r="C9" s="8" t="s">
        <v>127</v>
      </c>
      <c r="D9" s="8" t="s">
        <v>73</v>
      </c>
      <c r="E9" s="5">
        <v>3</v>
      </c>
      <c r="F9" s="5">
        <v>4</v>
      </c>
      <c r="G9" s="9">
        <f>IF(OR(E9="",F9=""),"",IFERROR(IF(AND(ISNUMBER(E9),ISNUMBER(F9),E9=INT(E9),F9=INT(F9),E9&gt;=Settings!$B$5,E9&lt;=Settings!$B$6,F9&gt;=Settings!$B$5,F9&lt;=Settings!$B$6),E9*F9,"check input"),"check input"))</f>
        <v>12</v>
      </c>
      <c r="H9" s="9" t="str">
        <f>IF(G9="","",IF(ISNUMBER(G9),IF(G9&gt;=Settings!$B$2,"High",IF(G9&gt;=Settings!$B$3,"Medium","Low")),"check input"))</f>
        <v>Medium</v>
      </c>
      <c r="I9" s="8" t="s">
        <v>106</v>
      </c>
      <c r="J9" s="8" t="s">
        <v>128</v>
      </c>
      <c r="K9" s="8" t="s">
        <v>81</v>
      </c>
      <c r="L9" s="10">
        <v>46402</v>
      </c>
    </row>
    <row r="10" spans="1:12" ht="36" customHeight="1">
      <c r="A10" s="8" t="s">
        <v>129</v>
      </c>
      <c r="B10" s="8" t="s">
        <v>130</v>
      </c>
      <c r="C10" s="8" t="s">
        <v>131</v>
      </c>
      <c r="D10" s="8" t="s">
        <v>64</v>
      </c>
      <c r="E10" s="5">
        <v>2</v>
      </c>
      <c r="F10" s="5">
        <v>5</v>
      </c>
      <c r="G10" s="9">
        <f>IF(OR(E10="",F10=""),"",IFERROR(IF(AND(ISNUMBER(E10),ISNUMBER(F10),E10=INT(E10),F10=INT(F10),E10&gt;=Settings!$B$5,E10&lt;=Settings!$B$6,F10&gt;=Settings!$B$5,F10&lt;=Settings!$B$6),E10*F10,"check input"),"check input"))</f>
        <v>10</v>
      </c>
      <c r="H10" s="9" t="str">
        <f>IF(G10="","",IF(ISNUMBER(G10),IF(G10&gt;=Settings!$B$2,"High",IF(G10&gt;=Settings!$B$3,"Medium","Low")),"check input"))</f>
        <v>Medium</v>
      </c>
      <c r="I10" s="8" t="s">
        <v>102</v>
      </c>
      <c r="J10" s="8" t="s">
        <v>132</v>
      </c>
      <c r="K10" s="8" t="s">
        <v>81</v>
      </c>
      <c r="L10" s="10">
        <v>46402</v>
      </c>
    </row>
    <row r="11" spans="1:12" ht="36" customHeight="1">
      <c r="A11" s="8" t="s">
        <v>133</v>
      </c>
      <c r="B11" s="8" t="s">
        <v>134</v>
      </c>
      <c r="C11" s="8" t="s">
        <v>135</v>
      </c>
      <c r="D11" s="8" t="s">
        <v>68</v>
      </c>
      <c r="E11" s="5">
        <v>3</v>
      </c>
      <c r="F11" s="5">
        <v>3</v>
      </c>
      <c r="G11" s="9">
        <f>IF(OR(E11="",F11=""),"",IFERROR(IF(AND(ISNUMBER(E11),ISNUMBER(F11),E11=INT(E11),F11=INT(F11),E11&gt;=Settings!$B$5,E11&lt;=Settings!$B$6,F11&gt;=Settings!$B$5,F11&lt;=Settings!$B$6),E11*F11,"check input"),"check input"))</f>
        <v>9</v>
      </c>
      <c r="H11" s="9" t="str">
        <f>IF(G11="","",IF(ISNUMBER(G11),IF(G11&gt;=Settings!$B$2,"High",IF(G11&gt;=Settings!$B$3,"Medium","Low")),"check input"))</f>
        <v>Medium</v>
      </c>
      <c r="I11" s="8" t="s">
        <v>136</v>
      </c>
      <c r="J11" s="8" t="s">
        <v>137</v>
      </c>
      <c r="K11" s="8" t="s">
        <v>81</v>
      </c>
      <c r="L11" s="10">
        <v>46402</v>
      </c>
    </row>
    <row r="12" spans="1:12" ht="36" customHeight="1">
      <c r="A12" s="8" t="s">
        <v>138</v>
      </c>
      <c r="B12" s="8" t="s">
        <v>139</v>
      </c>
      <c r="C12" s="8" t="s">
        <v>140</v>
      </c>
      <c r="D12" s="8" t="s">
        <v>71</v>
      </c>
      <c r="E12" s="5">
        <v>3</v>
      </c>
      <c r="F12" s="5">
        <v>3</v>
      </c>
      <c r="G12" s="9">
        <f>IF(OR(E12="",F12=""),"",IFERROR(IF(AND(ISNUMBER(E12),ISNUMBER(F12),E12=INT(E12),F12=INT(F12),E12&gt;=Settings!$B$5,E12&lt;=Settings!$B$6,F12&gt;=Settings!$B$5,F12&lt;=Settings!$B$6),E12*F12,"check input"),"check input"))</f>
        <v>9</v>
      </c>
      <c r="H12" s="9" t="str">
        <f>IF(G12="","",IF(ISNUMBER(G12),IF(G12&gt;=Settings!$B$2,"High",IF(G12&gt;=Settings!$B$3,"Medium","Low")),"check input"))</f>
        <v>Medium</v>
      </c>
      <c r="I12" s="8" t="s">
        <v>119</v>
      </c>
      <c r="J12" s="8" t="s">
        <v>141</v>
      </c>
      <c r="K12" s="8" t="s">
        <v>81</v>
      </c>
      <c r="L12" s="10">
        <v>46402</v>
      </c>
    </row>
    <row r="13" spans="1:12" ht="36" customHeight="1">
      <c r="A13" s="8" t="s">
        <v>142</v>
      </c>
      <c r="B13" s="8" t="s">
        <v>143</v>
      </c>
      <c r="C13" s="8" t="s">
        <v>144</v>
      </c>
      <c r="D13" s="8" t="s">
        <v>60</v>
      </c>
      <c r="E13" s="5">
        <v>2</v>
      </c>
      <c r="F13" s="5">
        <v>4</v>
      </c>
      <c r="G13" s="9">
        <f>IF(OR(E13="",F13=""),"",IFERROR(IF(AND(ISNUMBER(E13),ISNUMBER(F13),E13=INT(E13),F13=INT(F13),E13&gt;=Settings!$B$5,E13&lt;=Settings!$B$6,F13&gt;=Settings!$B$5,F13&lt;=Settings!$B$6),E13*F13,"check input"),"check input"))</f>
        <v>8</v>
      </c>
      <c r="H13" s="9" t="str">
        <f>IF(G13="","",IF(ISNUMBER(G13),IF(G13&gt;=Settings!$B$2,"High",IF(G13&gt;=Settings!$B$3,"Medium","Low")),"check input"))</f>
        <v>Medium</v>
      </c>
      <c r="I13" s="8" t="s">
        <v>102</v>
      </c>
      <c r="J13" s="8" t="s">
        <v>145</v>
      </c>
      <c r="K13" s="8" t="s">
        <v>81</v>
      </c>
      <c r="L13" s="10">
        <v>46402</v>
      </c>
    </row>
    <row r="14" spans="1:12" ht="36" customHeight="1">
      <c r="A14" s="8" t="s">
        <v>146</v>
      </c>
      <c r="B14" s="8" t="s">
        <v>147</v>
      </c>
      <c r="C14" s="8" t="s">
        <v>148</v>
      </c>
      <c r="D14" s="8" t="s">
        <v>79</v>
      </c>
      <c r="E14" s="5">
        <v>2</v>
      </c>
      <c r="F14" s="5">
        <v>4</v>
      </c>
      <c r="G14" s="9">
        <f>IF(OR(E14="",F14=""),"",IFERROR(IF(AND(ISNUMBER(E14),ISNUMBER(F14),E14=INT(E14),F14=INT(F14),E14&gt;=Settings!$B$5,E14&lt;=Settings!$B$6,F14&gt;=Settings!$B$5,F14&lt;=Settings!$B$6),E14*F14,"check input"),"check input"))</f>
        <v>8</v>
      </c>
      <c r="H14" s="9" t="str">
        <f>IF(G14="","",IF(ISNUMBER(G14),IF(G14&gt;=Settings!$B$2,"High",IF(G14&gt;=Settings!$B$3,"Medium","Low")),"check input"))</f>
        <v>Medium</v>
      </c>
      <c r="I14" s="8" t="s">
        <v>102</v>
      </c>
      <c r="J14" s="8" t="s">
        <v>149</v>
      </c>
      <c r="K14" s="8" t="s">
        <v>81</v>
      </c>
      <c r="L14" s="10">
        <v>46402</v>
      </c>
    </row>
    <row r="15" spans="1:12" ht="36" customHeight="1">
      <c r="A15" s="8" t="s">
        <v>150</v>
      </c>
      <c r="B15" s="8" t="s">
        <v>151</v>
      </c>
      <c r="C15" s="8" t="s">
        <v>152</v>
      </c>
      <c r="D15" s="8" t="s">
        <v>72</v>
      </c>
      <c r="E15" s="5">
        <v>2</v>
      </c>
      <c r="F15" s="5">
        <v>3</v>
      </c>
      <c r="G15" s="9">
        <f>IF(OR(E15="",F15=""),"",IFERROR(IF(AND(ISNUMBER(E15),ISNUMBER(F15),E15=INT(E15),F15=INT(F15),E15&gt;=Settings!$B$5,E15&lt;=Settings!$B$6,F15&gt;=Settings!$B$5,F15&lt;=Settings!$B$6),E15*F15,"check input"),"check input"))</f>
        <v>6</v>
      </c>
      <c r="H15" s="9" t="str">
        <f>IF(G15="","",IF(ISNUMBER(G15),IF(G15&gt;=Settings!$B$2,"High",IF(G15&gt;=Settings!$B$3,"Medium","Low")),"check input"))</f>
        <v>Low</v>
      </c>
      <c r="I15" s="8" t="s">
        <v>106</v>
      </c>
      <c r="J15" s="8" t="s">
        <v>153</v>
      </c>
      <c r="K15" s="8" t="s">
        <v>81</v>
      </c>
      <c r="L15" s="10">
        <v>46492</v>
      </c>
    </row>
  </sheetData>
  <autoFilter ref="A1:L15"/>
  <conditionalFormatting sqref="A2:A500">
    <cfRule type="expression" dxfId="3" priority="4">
      <formula>AND(TRIM($A2)&lt;&gt;"",SUMPRODUCT(--(TRIM($A$2:$A$500)=TRIM($A2)))&gt;1)</formula>
    </cfRule>
  </conditionalFormatting>
  <conditionalFormatting sqref="H2:H15">
    <cfRule type="beginsWith" dxfId="0" priority="1" operator="beginsWith" text="High">
      <formula>LEFT(H2,4)="High"</formula>
    </cfRule>
    <cfRule type="beginsWith" dxfId="1" priority="2" operator="beginsWith" text="Medium">
      <formula>LEFT(H2,6)="Medium"</formula>
    </cfRule>
    <cfRule type="beginsWith" dxfId="2" priority="3" operator="beginsWith" text="Low">
      <formula>LEFT(H2,3)="Low"</formula>
    </cfRule>
  </conditionalFormatting>
  <dataValidations count="4">
    <dataValidation type="whole" allowBlank="1" showInputMessage="1" showErrorMessage="1" errorTitle="Whole number on the scale" error="Enter a whole number from the scale on the Settings sheet (default 1 to 5)." sqref="E2:F15">
      <formula1>Settings!$B$5</formula1>
      <formula2>Settings!$B$6</formula2>
    </dataValidation>
    <dataValidation type="list" allowBlank="1" showInputMessage="1" showErrorMessage="1" errorTitle="CSF 2.0 category" error="Pick a category ID from the list (sheet Lists)." sqref="D2:D15">
      <formula1>Lists!$A$2:$A$23</formula1>
    </dataValidation>
    <dataValidation type="date" operator="greaterThanOrEqual" allowBlank="1" showInputMessage="1" showErrorMessage="1" errorTitle="Date" error="Enter a real date, for example 2027-01-15." sqref="L2:L15">
      <formula1>43831</formula1>
    </dataValidation>
    <dataValidation type="list" allowBlank="1" showInputMessage="1" showErrorMessage="1" errorTitle="Status" error="Pick Open, In progress, Done or Accepted from the list." sqref="K2:K15">
      <formula1>Lists!$B$2:$B$5</formula1>
    </dataValidation>
  </dataValidation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pageSetUpPr fitToPage="1"/>
  </sheetPr>
  <dimension ref="A1:L4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customWidth="1"/>
    <col min="2" max="2" width="46.7109375" customWidth="1"/>
    <col min="3" max="3" width="22.7109375" customWidth="1"/>
    <col min="4" max="4" width="14.7109375" customWidth="1"/>
    <col min="5" max="5" width="11.7109375" customWidth="1"/>
    <col min="6" max="8" width="10.7109375" customWidth="1"/>
    <col min="9" max="9" width="24.7109375" customWidth="1"/>
    <col min="10" max="10" width="60.7109375" customWidth="1"/>
    <col min="11" max="11" width="12.7109375" customWidth="1"/>
    <col min="12" max="12" width="13.7109375" customWidth="1"/>
  </cols>
  <sheetData>
    <row r="1" spans="1:12" ht="32" customHeight="1">
      <c r="A1" s="6" t="s">
        <v>85</v>
      </c>
      <c r="B1" s="6" t="s">
        <v>86</v>
      </c>
      <c r="C1" s="6" t="s">
        <v>87</v>
      </c>
      <c r="D1" s="6" t="s">
        <v>57</v>
      </c>
      <c r="E1" s="6" t="s">
        <v>88</v>
      </c>
      <c r="F1" s="6" t="s">
        <v>89</v>
      </c>
      <c r="G1" s="6" t="s">
        <v>90</v>
      </c>
      <c r="H1" s="6" t="s">
        <v>91</v>
      </c>
      <c r="I1" s="6" t="s">
        <v>92</v>
      </c>
      <c r="J1" s="6" t="s">
        <v>93</v>
      </c>
      <c r="K1" s="6" t="s">
        <v>58</v>
      </c>
      <c r="L1" s="6" t="s">
        <v>94</v>
      </c>
    </row>
    <row r="2" spans="1:12" ht="24" customHeight="1">
      <c r="A2" s="8"/>
      <c r="B2" s="8"/>
      <c r="C2" s="8"/>
      <c r="D2" s="8"/>
      <c r="E2" s="5"/>
      <c r="F2" s="5"/>
      <c r="G2" s="9">
        <f>IF(OR(E2="",F2=""),"",IFERROR(IF(AND(ISNUMBER(E2),ISNUMBER(F2),E2=INT(E2),F2=INT(F2),E2&gt;=Settings!$B$5,E2&lt;=Settings!$B$6,F2&gt;=Settings!$B$5,F2&lt;=Settings!$B$6),E2*F2,"check input"),"check input"))</f>
        <v/>
      </c>
      <c r="H2" s="9">
        <f>IF(G2="","",IF(ISNUMBER(G2),IF(G2&gt;=Settings!$B$2,"High",IF(G2&gt;=Settings!$B$3,"Medium","Low")),"check input"))</f>
        <v/>
      </c>
      <c r="I2" s="8"/>
      <c r="J2" s="8"/>
      <c r="K2" s="8"/>
      <c r="L2" s="10"/>
    </row>
    <row r="3" spans="1:12" ht="24" customHeight="1">
      <c r="A3" s="8"/>
      <c r="B3" s="8"/>
      <c r="C3" s="8"/>
      <c r="D3" s="8"/>
      <c r="E3" s="5"/>
      <c r="F3" s="5"/>
      <c r="G3" s="9">
        <f>IF(OR(E3="",F3=""),"",IFERROR(IF(AND(ISNUMBER(E3),ISNUMBER(F3),E3=INT(E3),F3=INT(F3),E3&gt;=Settings!$B$5,E3&lt;=Settings!$B$6,F3&gt;=Settings!$B$5,F3&lt;=Settings!$B$6),E3*F3,"check input"),"check input"))</f>
        <v/>
      </c>
      <c r="H3" s="9">
        <f>IF(G3="","",IF(ISNUMBER(G3),IF(G3&gt;=Settings!$B$2,"High",IF(G3&gt;=Settings!$B$3,"Medium","Low")),"check input"))</f>
        <v/>
      </c>
      <c r="I3" s="8"/>
      <c r="J3" s="8"/>
      <c r="K3" s="8"/>
      <c r="L3" s="10"/>
    </row>
    <row r="4" spans="1:12" ht="24" customHeight="1">
      <c r="A4" s="8"/>
      <c r="B4" s="8"/>
      <c r="C4" s="8"/>
      <c r="D4" s="8"/>
      <c r="E4" s="5"/>
      <c r="F4" s="5"/>
      <c r="G4" s="9">
        <f>IF(OR(E4="",F4=""),"",IFERROR(IF(AND(ISNUMBER(E4),ISNUMBER(F4),E4=INT(E4),F4=INT(F4),E4&gt;=Settings!$B$5,E4&lt;=Settings!$B$6,F4&gt;=Settings!$B$5,F4&lt;=Settings!$B$6),E4*F4,"check input"),"check input"))</f>
        <v/>
      </c>
      <c r="H4" s="9">
        <f>IF(G4="","",IF(ISNUMBER(G4),IF(G4&gt;=Settings!$B$2,"High",IF(G4&gt;=Settings!$B$3,"Medium","Low")),"check input"))</f>
        <v/>
      </c>
      <c r="I4" s="8"/>
      <c r="J4" s="8"/>
      <c r="K4" s="8"/>
      <c r="L4" s="10"/>
    </row>
    <row r="5" spans="1:12" ht="24" customHeight="1">
      <c r="A5" s="8"/>
      <c r="B5" s="8"/>
      <c r="C5" s="8"/>
      <c r="D5" s="8"/>
      <c r="E5" s="5"/>
      <c r="F5" s="5"/>
      <c r="G5" s="9">
        <f>IF(OR(E5="",F5=""),"",IFERROR(IF(AND(ISNUMBER(E5),ISNUMBER(F5),E5=INT(E5),F5=INT(F5),E5&gt;=Settings!$B$5,E5&lt;=Settings!$B$6,F5&gt;=Settings!$B$5,F5&lt;=Settings!$B$6),E5*F5,"check input"),"check input"))</f>
        <v/>
      </c>
      <c r="H5" s="9">
        <f>IF(G5="","",IF(ISNUMBER(G5),IF(G5&gt;=Settings!$B$2,"High",IF(G5&gt;=Settings!$B$3,"Medium","Low")),"check input"))</f>
        <v/>
      </c>
      <c r="I5" s="8"/>
      <c r="J5" s="8"/>
      <c r="K5" s="8"/>
      <c r="L5" s="10"/>
    </row>
    <row r="6" spans="1:12" ht="24" customHeight="1">
      <c r="A6" s="8"/>
      <c r="B6" s="8"/>
      <c r="C6" s="8"/>
      <c r="D6" s="8"/>
      <c r="E6" s="5"/>
      <c r="F6" s="5"/>
      <c r="G6" s="9">
        <f>IF(OR(E6="",F6=""),"",IFERROR(IF(AND(ISNUMBER(E6),ISNUMBER(F6),E6=INT(E6),F6=INT(F6),E6&gt;=Settings!$B$5,E6&lt;=Settings!$B$6,F6&gt;=Settings!$B$5,F6&lt;=Settings!$B$6),E6*F6,"check input"),"check input"))</f>
        <v/>
      </c>
      <c r="H6" s="9">
        <f>IF(G6="","",IF(ISNUMBER(G6),IF(G6&gt;=Settings!$B$2,"High",IF(G6&gt;=Settings!$B$3,"Medium","Low")),"check input"))</f>
        <v/>
      </c>
      <c r="I6" s="8"/>
      <c r="J6" s="8"/>
      <c r="K6" s="8"/>
      <c r="L6" s="10"/>
    </row>
    <row r="7" spans="1:12" ht="24" customHeight="1">
      <c r="A7" s="8"/>
      <c r="B7" s="8"/>
      <c r="C7" s="8"/>
      <c r="D7" s="8"/>
      <c r="E7" s="5"/>
      <c r="F7" s="5"/>
      <c r="G7" s="9">
        <f>IF(OR(E7="",F7=""),"",IFERROR(IF(AND(ISNUMBER(E7),ISNUMBER(F7),E7=INT(E7),F7=INT(F7),E7&gt;=Settings!$B$5,E7&lt;=Settings!$B$6,F7&gt;=Settings!$B$5,F7&lt;=Settings!$B$6),E7*F7,"check input"),"check input"))</f>
        <v/>
      </c>
      <c r="H7" s="9">
        <f>IF(G7="","",IF(ISNUMBER(G7),IF(G7&gt;=Settings!$B$2,"High",IF(G7&gt;=Settings!$B$3,"Medium","Low")),"check input"))</f>
        <v/>
      </c>
      <c r="I7" s="8"/>
      <c r="J7" s="8"/>
      <c r="K7" s="8"/>
      <c r="L7" s="10"/>
    </row>
    <row r="8" spans="1:12" ht="24" customHeight="1">
      <c r="A8" s="8"/>
      <c r="B8" s="8"/>
      <c r="C8" s="8"/>
      <c r="D8" s="8"/>
      <c r="E8" s="5"/>
      <c r="F8" s="5"/>
      <c r="G8" s="9">
        <f>IF(OR(E8="",F8=""),"",IFERROR(IF(AND(ISNUMBER(E8),ISNUMBER(F8),E8=INT(E8),F8=INT(F8),E8&gt;=Settings!$B$5,E8&lt;=Settings!$B$6,F8&gt;=Settings!$B$5,F8&lt;=Settings!$B$6),E8*F8,"check input"),"check input"))</f>
        <v/>
      </c>
      <c r="H8" s="9">
        <f>IF(G8="","",IF(ISNUMBER(G8),IF(G8&gt;=Settings!$B$2,"High",IF(G8&gt;=Settings!$B$3,"Medium","Low")),"check input"))</f>
        <v/>
      </c>
      <c r="I8" s="8"/>
      <c r="J8" s="8"/>
      <c r="K8" s="8"/>
      <c r="L8" s="10"/>
    </row>
    <row r="9" spans="1:12" ht="24" customHeight="1">
      <c r="A9" s="8"/>
      <c r="B9" s="8"/>
      <c r="C9" s="8"/>
      <c r="D9" s="8"/>
      <c r="E9" s="5"/>
      <c r="F9" s="5"/>
      <c r="G9" s="9">
        <f>IF(OR(E9="",F9=""),"",IFERROR(IF(AND(ISNUMBER(E9),ISNUMBER(F9),E9=INT(E9),F9=INT(F9),E9&gt;=Settings!$B$5,E9&lt;=Settings!$B$6,F9&gt;=Settings!$B$5,F9&lt;=Settings!$B$6),E9*F9,"check input"),"check input"))</f>
        <v/>
      </c>
      <c r="H9" s="9">
        <f>IF(G9="","",IF(ISNUMBER(G9),IF(G9&gt;=Settings!$B$2,"High",IF(G9&gt;=Settings!$B$3,"Medium","Low")),"check input"))</f>
        <v/>
      </c>
      <c r="I9" s="8"/>
      <c r="J9" s="8"/>
      <c r="K9" s="8"/>
      <c r="L9" s="10"/>
    </row>
    <row r="10" spans="1:12" ht="24" customHeight="1">
      <c r="A10" s="8"/>
      <c r="B10" s="8"/>
      <c r="C10" s="8"/>
      <c r="D10" s="8"/>
      <c r="E10" s="5"/>
      <c r="F10" s="5"/>
      <c r="G10" s="9">
        <f>IF(OR(E10="",F10=""),"",IFERROR(IF(AND(ISNUMBER(E10),ISNUMBER(F10),E10=INT(E10),F10=INT(F10),E10&gt;=Settings!$B$5,E10&lt;=Settings!$B$6,F10&gt;=Settings!$B$5,F10&lt;=Settings!$B$6),E10*F10,"check input"),"check input"))</f>
        <v/>
      </c>
      <c r="H10" s="9">
        <f>IF(G10="","",IF(ISNUMBER(G10),IF(G10&gt;=Settings!$B$2,"High",IF(G10&gt;=Settings!$B$3,"Medium","Low")),"check input"))</f>
        <v/>
      </c>
      <c r="I10" s="8"/>
      <c r="J10" s="8"/>
      <c r="K10" s="8"/>
      <c r="L10" s="10"/>
    </row>
    <row r="11" spans="1:12" ht="24" customHeight="1">
      <c r="A11" s="8"/>
      <c r="B11" s="8"/>
      <c r="C11" s="8"/>
      <c r="D11" s="8"/>
      <c r="E11" s="5"/>
      <c r="F11" s="5"/>
      <c r="G11" s="9">
        <f>IF(OR(E11="",F11=""),"",IFERROR(IF(AND(ISNUMBER(E11),ISNUMBER(F11),E11=INT(E11),F11=INT(F11),E11&gt;=Settings!$B$5,E11&lt;=Settings!$B$6,F11&gt;=Settings!$B$5,F11&lt;=Settings!$B$6),E11*F11,"check input"),"check input"))</f>
        <v/>
      </c>
      <c r="H11" s="9">
        <f>IF(G11="","",IF(ISNUMBER(G11),IF(G11&gt;=Settings!$B$2,"High",IF(G11&gt;=Settings!$B$3,"Medium","Low")),"check input"))</f>
        <v/>
      </c>
      <c r="I11" s="8"/>
      <c r="J11" s="8"/>
      <c r="K11" s="8"/>
      <c r="L11" s="10"/>
    </row>
    <row r="12" spans="1:12" ht="24" customHeight="1">
      <c r="A12" s="8"/>
      <c r="B12" s="8"/>
      <c r="C12" s="8"/>
      <c r="D12" s="8"/>
      <c r="E12" s="5"/>
      <c r="F12" s="5"/>
      <c r="G12" s="9">
        <f>IF(OR(E12="",F12=""),"",IFERROR(IF(AND(ISNUMBER(E12),ISNUMBER(F12),E12=INT(E12),F12=INT(F12),E12&gt;=Settings!$B$5,E12&lt;=Settings!$B$6,F12&gt;=Settings!$B$5,F12&lt;=Settings!$B$6),E12*F12,"check input"),"check input"))</f>
        <v/>
      </c>
      <c r="H12" s="9">
        <f>IF(G12="","",IF(ISNUMBER(G12),IF(G12&gt;=Settings!$B$2,"High",IF(G12&gt;=Settings!$B$3,"Medium","Low")),"check input"))</f>
        <v/>
      </c>
      <c r="I12" s="8"/>
      <c r="J12" s="8"/>
      <c r="K12" s="8"/>
      <c r="L12" s="10"/>
    </row>
    <row r="13" spans="1:12" ht="24" customHeight="1">
      <c r="A13" s="8"/>
      <c r="B13" s="8"/>
      <c r="C13" s="8"/>
      <c r="D13" s="8"/>
      <c r="E13" s="5"/>
      <c r="F13" s="5"/>
      <c r="G13" s="9">
        <f>IF(OR(E13="",F13=""),"",IFERROR(IF(AND(ISNUMBER(E13),ISNUMBER(F13),E13=INT(E13),F13=INT(F13),E13&gt;=Settings!$B$5,E13&lt;=Settings!$B$6,F13&gt;=Settings!$B$5,F13&lt;=Settings!$B$6),E13*F13,"check input"),"check input"))</f>
        <v/>
      </c>
      <c r="H13" s="9">
        <f>IF(G13="","",IF(ISNUMBER(G13),IF(G13&gt;=Settings!$B$2,"High",IF(G13&gt;=Settings!$B$3,"Medium","Low")),"check input"))</f>
        <v/>
      </c>
      <c r="I13" s="8"/>
      <c r="J13" s="8"/>
      <c r="K13" s="8"/>
      <c r="L13" s="10"/>
    </row>
    <row r="14" spans="1:12" ht="24" customHeight="1">
      <c r="A14" s="8"/>
      <c r="B14" s="8"/>
      <c r="C14" s="8"/>
      <c r="D14" s="8"/>
      <c r="E14" s="5"/>
      <c r="F14" s="5"/>
      <c r="G14" s="9">
        <f>IF(OR(E14="",F14=""),"",IFERROR(IF(AND(ISNUMBER(E14),ISNUMBER(F14),E14=INT(E14),F14=INT(F14),E14&gt;=Settings!$B$5,E14&lt;=Settings!$B$6,F14&gt;=Settings!$B$5,F14&lt;=Settings!$B$6),E14*F14,"check input"),"check input"))</f>
        <v/>
      </c>
      <c r="H14" s="9">
        <f>IF(G14="","",IF(ISNUMBER(G14),IF(G14&gt;=Settings!$B$2,"High",IF(G14&gt;=Settings!$B$3,"Medium","Low")),"check input"))</f>
        <v/>
      </c>
      <c r="I14" s="8"/>
      <c r="J14" s="8"/>
      <c r="K14" s="8"/>
      <c r="L14" s="10"/>
    </row>
    <row r="15" spans="1:12" ht="24" customHeight="1">
      <c r="A15" s="8"/>
      <c r="B15" s="8"/>
      <c r="C15" s="8"/>
      <c r="D15" s="8"/>
      <c r="E15" s="5"/>
      <c r="F15" s="5"/>
      <c r="G15" s="9">
        <f>IF(OR(E15="",F15=""),"",IFERROR(IF(AND(ISNUMBER(E15),ISNUMBER(F15),E15=INT(E15),F15=INT(F15),E15&gt;=Settings!$B$5,E15&lt;=Settings!$B$6,F15&gt;=Settings!$B$5,F15&lt;=Settings!$B$6),E15*F15,"check input"),"check input"))</f>
        <v/>
      </c>
      <c r="H15" s="9">
        <f>IF(G15="","",IF(ISNUMBER(G15),IF(G15&gt;=Settings!$B$2,"High",IF(G15&gt;=Settings!$B$3,"Medium","Low")),"check input"))</f>
        <v/>
      </c>
      <c r="I15" s="8"/>
      <c r="J15" s="8"/>
      <c r="K15" s="8"/>
      <c r="L15" s="10"/>
    </row>
    <row r="16" spans="1:12" ht="24" customHeight="1">
      <c r="A16" s="8"/>
      <c r="B16" s="8"/>
      <c r="C16" s="8"/>
      <c r="D16" s="8"/>
      <c r="E16" s="5"/>
      <c r="F16" s="5"/>
      <c r="G16" s="9">
        <f>IF(OR(E16="",F16=""),"",IFERROR(IF(AND(ISNUMBER(E16),ISNUMBER(F16),E16=INT(E16),F16=INT(F16),E16&gt;=Settings!$B$5,E16&lt;=Settings!$B$6,F16&gt;=Settings!$B$5,F16&lt;=Settings!$B$6),E16*F16,"check input"),"check input"))</f>
        <v/>
      </c>
      <c r="H16" s="9">
        <f>IF(G16="","",IF(ISNUMBER(G16),IF(G16&gt;=Settings!$B$2,"High",IF(G16&gt;=Settings!$B$3,"Medium","Low")),"check input"))</f>
        <v/>
      </c>
      <c r="I16" s="8"/>
      <c r="J16" s="8"/>
      <c r="K16" s="8"/>
      <c r="L16" s="10"/>
    </row>
    <row r="17" spans="1:12" ht="24" customHeight="1">
      <c r="A17" s="8"/>
      <c r="B17" s="8"/>
      <c r="C17" s="8"/>
      <c r="D17" s="8"/>
      <c r="E17" s="5"/>
      <c r="F17" s="5"/>
      <c r="G17" s="9">
        <f>IF(OR(E17="",F17=""),"",IFERROR(IF(AND(ISNUMBER(E17),ISNUMBER(F17),E17=INT(E17),F17=INT(F17),E17&gt;=Settings!$B$5,E17&lt;=Settings!$B$6,F17&gt;=Settings!$B$5,F17&lt;=Settings!$B$6),E17*F17,"check input"),"check input"))</f>
        <v/>
      </c>
      <c r="H17" s="9">
        <f>IF(G17="","",IF(ISNUMBER(G17),IF(G17&gt;=Settings!$B$2,"High",IF(G17&gt;=Settings!$B$3,"Medium","Low")),"check input"))</f>
        <v/>
      </c>
      <c r="I17" s="8"/>
      <c r="J17" s="8"/>
      <c r="K17" s="8"/>
      <c r="L17" s="10"/>
    </row>
    <row r="18" spans="1:12" ht="24" customHeight="1">
      <c r="A18" s="8"/>
      <c r="B18" s="8"/>
      <c r="C18" s="8"/>
      <c r="D18" s="8"/>
      <c r="E18" s="5"/>
      <c r="F18" s="5"/>
      <c r="G18" s="9">
        <f>IF(OR(E18="",F18=""),"",IFERROR(IF(AND(ISNUMBER(E18),ISNUMBER(F18),E18=INT(E18),F18=INT(F18),E18&gt;=Settings!$B$5,E18&lt;=Settings!$B$6,F18&gt;=Settings!$B$5,F18&lt;=Settings!$B$6),E18*F18,"check input"),"check input"))</f>
        <v/>
      </c>
      <c r="H18" s="9">
        <f>IF(G18="","",IF(ISNUMBER(G18),IF(G18&gt;=Settings!$B$2,"High",IF(G18&gt;=Settings!$B$3,"Medium","Low")),"check input"))</f>
        <v/>
      </c>
      <c r="I18" s="8"/>
      <c r="J18" s="8"/>
      <c r="K18" s="8"/>
      <c r="L18" s="10"/>
    </row>
    <row r="19" spans="1:12" ht="24" customHeight="1">
      <c r="A19" s="8"/>
      <c r="B19" s="8"/>
      <c r="C19" s="8"/>
      <c r="D19" s="8"/>
      <c r="E19" s="5"/>
      <c r="F19" s="5"/>
      <c r="G19" s="9">
        <f>IF(OR(E19="",F19=""),"",IFERROR(IF(AND(ISNUMBER(E19),ISNUMBER(F19),E19=INT(E19),F19=INT(F19),E19&gt;=Settings!$B$5,E19&lt;=Settings!$B$6,F19&gt;=Settings!$B$5,F19&lt;=Settings!$B$6),E19*F19,"check input"),"check input"))</f>
        <v/>
      </c>
      <c r="H19" s="9">
        <f>IF(G19="","",IF(ISNUMBER(G19),IF(G19&gt;=Settings!$B$2,"High",IF(G19&gt;=Settings!$B$3,"Medium","Low")),"check input"))</f>
        <v/>
      </c>
      <c r="I19" s="8"/>
      <c r="J19" s="8"/>
      <c r="K19" s="8"/>
      <c r="L19" s="10"/>
    </row>
    <row r="20" spans="1:12" ht="24" customHeight="1">
      <c r="A20" s="8"/>
      <c r="B20" s="8"/>
      <c r="C20" s="8"/>
      <c r="D20" s="8"/>
      <c r="E20" s="5"/>
      <c r="F20" s="5"/>
      <c r="G20" s="9">
        <f>IF(OR(E20="",F20=""),"",IFERROR(IF(AND(ISNUMBER(E20),ISNUMBER(F20),E20=INT(E20),F20=INT(F20),E20&gt;=Settings!$B$5,E20&lt;=Settings!$B$6,F20&gt;=Settings!$B$5,F20&lt;=Settings!$B$6),E20*F20,"check input"),"check input"))</f>
        <v/>
      </c>
      <c r="H20" s="9">
        <f>IF(G20="","",IF(ISNUMBER(G20),IF(G20&gt;=Settings!$B$2,"High",IF(G20&gt;=Settings!$B$3,"Medium","Low")),"check input"))</f>
        <v/>
      </c>
      <c r="I20" s="8"/>
      <c r="J20" s="8"/>
      <c r="K20" s="8"/>
      <c r="L20" s="10"/>
    </row>
    <row r="21" spans="1:12" ht="24" customHeight="1">
      <c r="A21" s="8"/>
      <c r="B21" s="8"/>
      <c r="C21" s="8"/>
      <c r="D21" s="8"/>
      <c r="E21" s="5"/>
      <c r="F21" s="5"/>
      <c r="G21" s="9">
        <f>IF(OR(E21="",F21=""),"",IFERROR(IF(AND(ISNUMBER(E21),ISNUMBER(F21),E21=INT(E21),F21=INT(F21),E21&gt;=Settings!$B$5,E21&lt;=Settings!$B$6,F21&gt;=Settings!$B$5,F21&lt;=Settings!$B$6),E21*F21,"check input"),"check input"))</f>
        <v/>
      </c>
      <c r="H21" s="9">
        <f>IF(G21="","",IF(ISNUMBER(G21),IF(G21&gt;=Settings!$B$2,"High",IF(G21&gt;=Settings!$B$3,"Medium","Low")),"check input"))</f>
        <v/>
      </c>
      <c r="I21" s="8"/>
      <c r="J21" s="8"/>
      <c r="K21" s="8"/>
      <c r="L21" s="10"/>
    </row>
    <row r="22" spans="1:12" ht="24" customHeight="1">
      <c r="A22" s="8"/>
      <c r="B22" s="8"/>
      <c r="C22" s="8"/>
      <c r="D22" s="8"/>
      <c r="E22" s="5"/>
      <c r="F22" s="5"/>
      <c r="G22" s="9">
        <f>IF(OR(E22="",F22=""),"",IFERROR(IF(AND(ISNUMBER(E22),ISNUMBER(F22),E22=INT(E22),F22=INT(F22),E22&gt;=Settings!$B$5,E22&lt;=Settings!$B$6,F22&gt;=Settings!$B$5,F22&lt;=Settings!$B$6),E22*F22,"check input"),"check input"))</f>
        <v/>
      </c>
      <c r="H22" s="9">
        <f>IF(G22="","",IF(ISNUMBER(G22),IF(G22&gt;=Settings!$B$2,"High",IF(G22&gt;=Settings!$B$3,"Medium","Low")),"check input"))</f>
        <v/>
      </c>
      <c r="I22" s="8"/>
      <c r="J22" s="8"/>
      <c r="K22" s="8"/>
      <c r="L22" s="10"/>
    </row>
    <row r="23" spans="1:12" ht="24" customHeight="1">
      <c r="A23" s="8"/>
      <c r="B23" s="8"/>
      <c r="C23" s="8"/>
      <c r="D23" s="8"/>
      <c r="E23" s="5"/>
      <c r="F23" s="5"/>
      <c r="G23" s="9">
        <f>IF(OR(E23="",F23=""),"",IFERROR(IF(AND(ISNUMBER(E23),ISNUMBER(F23),E23=INT(E23),F23=INT(F23),E23&gt;=Settings!$B$5,E23&lt;=Settings!$B$6,F23&gt;=Settings!$B$5,F23&lt;=Settings!$B$6),E23*F23,"check input"),"check input"))</f>
        <v/>
      </c>
      <c r="H23" s="9">
        <f>IF(G23="","",IF(ISNUMBER(G23),IF(G23&gt;=Settings!$B$2,"High",IF(G23&gt;=Settings!$B$3,"Medium","Low")),"check input"))</f>
        <v/>
      </c>
      <c r="I23" s="8"/>
      <c r="J23" s="8"/>
      <c r="K23" s="8"/>
      <c r="L23" s="10"/>
    </row>
    <row r="24" spans="1:12" ht="24" customHeight="1">
      <c r="A24" s="8"/>
      <c r="B24" s="8"/>
      <c r="C24" s="8"/>
      <c r="D24" s="8"/>
      <c r="E24" s="5"/>
      <c r="F24" s="5"/>
      <c r="G24" s="9">
        <f>IF(OR(E24="",F24=""),"",IFERROR(IF(AND(ISNUMBER(E24),ISNUMBER(F24),E24=INT(E24),F24=INT(F24),E24&gt;=Settings!$B$5,E24&lt;=Settings!$B$6,F24&gt;=Settings!$B$5,F24&lt;=Settings!$B$6),E24*F24,"check input"),"check input"))</f>
        <v/>
      </c>
      <c r="H24" s="9">
        <f>IF(G24="","",IF(ISNUMBER(G24),IF(G24&gt;=Settings!$B$2,"High",IF(G24&gt;=Settings!$B$3,"Medium","Low")),"check input"))</f>
        <v/>
      </c>
      <c r="I24" s="8"/>
      <c r="J24" s="8"/>
      <c r="K24" s="8"/>
      <c r="L24" s="10"/>
    </row>
    <row r="25" spans="1:12" ht="24" customHeight="1">
      <c r="A25" s="8"/>
      <c r="B25" s="8"/>
      <c r="C25" s="8"/>
      <c r="D25" s="8"/>
      <c r="E25" s="5"/>
      <c r="F25" s="5"/>
      <c r="G25" s="9">
        <f>IF(OR(E25="",F25=""),"",IFERROR(IF(AND(ISNUMBER(E25),ISNUMBER(F25),E25=INT(E25),F25=INT(F25),E25&gt;=Settings!$B$5,E25&lt;=Settings!$B$6,F25&gt;=Settings!$B$5,F25&lt;=Settings!$B$6),E25*F25,"check input"),"check input"))</f>
        <v/>
      </c>
      <c r="H25" s="9">
        <f>IF(G25="","",IF(ISNUMBER(G25),IF(G25&gt;=Settings!$B$2,"High",IF(G25&gt;=Settings!$B$3,"Medium","Low")),"check input"))</f>
        <v/>
      </c>
      <c r="I25" s="8"/>
      <c r="J25" s="8"/>
      <c r="K25" s="8"/>
      <c r="L25" s="10"/>
    </row>
    <row r="26" spans="1:12" ht="24" customHeight="1">
      <c r="A26" s="8"/>
      <c r="B26" s="8"/>
      <c r="C26" s="8"/>
      <c r="D26" s="8"/>
      <c r="E26" s="5"/>
      <c r="F26" s="5"/>
      <c r="G26" s="9">
        <f>IF(OR(E26="",F26=""),"",IFERROR(IF(AND(ISNUMBER(E26),ISNUMBER(F26),E26=INT(E26),F26=INT(F26),E26&gt;=Settings!$B$5,E26&lt;=Settings!$B$6,F26&gt;=Settings!$B$5,F26&lt;=Settings!$B$6),E26*F26,"check input"),"check input"))</f>
        <v/>
      </c>
      <c r="H26" s="9">
        <f>IF(G26="","",IF(ISNUMBER(G26),IF(G26&gt;=Settings!$B$2,"High",IF(G26&gt;=Settings!$B$3,"Medium","Low")),"check input"))</f>
        <v/>
      </c>
      <c r="I26" s="8"/>
      <c r="J26" s="8"/>
      <c r="K26" s="8"/>
      <c r="L26" s="10"/>
    </row>
    <row r="27" spans="1:12" ht="24" customHeight="1">
      <c r="A27" s="8"/>
      <c r="B27" s="8"/>
      <c r="C27" s="8"/>
      <c r="D27" s="8"/>
      <c r="E27" s="5"/>
      <c r="F27" s="5"/>
      <c r="G27" s="9">
        <f>IF(OR(E27="",F27=""),"",IFERROR(IF(AND(ISNUMBER(E27),ISNUMBER(F27),E27=INT(E27),F27=INT(F27),E27&gt;=Settings!$B$5,E27&lt;=Settings!$B$6,F27&gt;=Settings!$B$5,F27&lt;=Settings!$B$6),E27*F27,"check input"),"check input"))</f>
        <v/>
      </c>
      <c r="H27" s="9">
        <f>IF(G27="","",IF(ISNUMBER(G27),IF(G27&gt;=Settings!$B$2,"High",IF(G27&gt;=Settings!$B$3,"Medium","Low")),"check input"))</f>
        <v/>
      </c>
      <c r="I27" s="8"/>
      <c r="J27" s="8"/>
      <c r="K27" s="8"/>
      <c r="L27" s="10"/>
    </row>
    <row r="28" spans="1:12" ht="24" customHeight="1">
      <c r="A28" s="8"/>
      <c r="B28" s="8"/>
      <c r="C28" s="8"/>
      <c r="D28" s="8"/>
      <c r="E28" s="5"/>
      <c r="F28" s="5"/>
      <c r="G28" s="9">
        <f>IF(OR(E28="",F28=""),"",IFERROR(IF(AND(ISNUMBER(E28),ISNUMBER(F28),E28=INT(E28),F28=INT(F28),E28&gt;=Settings!$B$5,E28&lt;=Settings!$B$6,F28&gt;=Settings!$B$5,F28&lt;=Settings!$B$6),E28*F28,"check input"),"check input"))</f>
        <v/>
      </c>
      <c r="H28" s="9">
        <f>IF(G28="","",IF(ISNUMBER(G28),IF(G28&gt;=Settings!$B$2,"High",IF(G28&gt;=Settings!$B$3,"Medium","Low")),"check input"))</f>
        <v/>
      </c>
      <c r="I28" s="8"/>
      <c r="J28" s="8"/>
      <c r="K28" s="8"/>
      <c r="L28" s="10"/>
    </row>
    <row r="29" spans="1:12" ht="24" customHeight="1">
      <c r="A29" s="8"/>
      <c r="B29" s="8"/>
      <c r="C29" s="8"/>
      <c r="D29" s="8"/>
      <c r="E29" s="5"/>
      <c r="F29" s="5"/>
      <c r="G29" s="9">
        <f>IF(OR(E29="",F29=""),"",IFERROR(IF(AND(ISNUMBER(E29),ISNUMBER(F29),E29=INT(E29),F29=INT(F29),E29&gt;=Settings!$B$5,E29&lt;=Settings!$B$6,F29&gt;=Settings!$B$5,F29&lt;=Settings!$B$6),E29*F29,"check input"),"check input"))</f>
        <v/>
      </c>
      <c r="H29" s="9">
        <f>IF(G29="","",IF(ISNUMBER(G29),IF(G29&gt;=Settings!$B$2,"High",IF(G29&gt;=Settings!$B$3,"Medium","Low")),"check input"))</f>
        <v/>
      </c>
      <c r="I29" s="8"/>
      <c r="J29" s="8"/>
      <c r="K29" s="8"/>
      <c r="L29" s="10"/>
    </row>
    <row r="30" spans="1:12" ht="24" customHeight="1">
      <c r="A30" s="8"/>
      <c r="B30" s="8"/>
      <c r="C30" s="8"/>
      <c r="D30" s="8"/>
      <c r="E30" s="5"/>
      <c r="F30" s="5"/>
      <c r="G30" s="9">
        <f>IF(OR(E30="",F30=""),"",IFERROR(IF(AND(ISNUMBER(E30),ISNUMBER(F30),E30=INT(E30),F30=INT(F30),E30&gt;=Settings!$B$5,E30&lt;=Settings!$B$6,F30&gt;=Settings!$B$5,F30&lt;=Settings!$B$6),E30*F30,"check input"),"check input"))</f>
        <v/>
      </c>
      <c r="H30" s="9">
        <f>IF(G30="","",IF(ISNUMBER(G30),IF(G30&gt;=Settings!$B$2,"High",IF(G30&gt;=Settings!$B$3,"Medium","Low")),"check input"))</f>
        <v/>
      </c>
      <c r="I30" s="8"/>
      <c r="J30" s="8"/>
      <c r="K30" s="8"/>
      <c r="L30" s="10"/>
    </row>
    <row r="31" spans="1:12" ht="24" customHeight="1">
      <c r="A31" s="8"/>
      <c r="B31" s="8"/>
      <c r="C31" s="8"/>
      <c r="D31" s="8"/>
      <c r="E31" s="5"/>
      <c r="F31" s="5"/>
      <c r="G31" s="9">
        <f>IF(OR(E31="",F31=""),"",IFERROR(IF(AND(ISNUMBER(E31),ISNUMBER(F31),E31=INT(E31),F31=INT(F31),E31&gt;=Settings!$B$5,E31&lt;=Settings!$B$6,F31&gt;=Settings!$B$5,F31&lt;=Settings!$B$6),E31*F31,"check input"),"check input"))</f>
        <v/>
      </c>
      <c r="H31" s="9">
        <f>IF(G31="","",IF(ISNUMBER(G31),IF(G31&gt;=Settings!$B$2,"High",IF(G31&gt;=Settings!$B$3,"Medium","Low")),"check input"))</f>
        <v/>
      </c>
      <c r="I31" s="8"/>
      <c r="J31" s="8"/>
      <c r="K31" s="8"/>
      <c r="L31" s="10"/>
    </row>
    <row r="32" spans="1:12" ht="24" customHeight="1">
      <c r="A32" s="8"/>
      <c r="B32" s="8"/>
      <c r="C32" s="8"/>
      <c r="D32" s="8"/>
      <c r="E32" s="5"/>
      <c r="F32" s="5"/>
      <c r="G32" s="9">
        <f>IF(OR(E32="",F32=""),"",IFERROR(IF(AND(ISNUMBER(E32),ISNUMBER(F32),E32=INT(E32),F32=INT(F32),E32&gt;=Settings!$B$5,E32&lt;=Settings!$B$6,F32&gt;=Settings!$B$5,F32&lt;=Settings!$B$6),E32*F32,"check input"),"check input"))</f>
        <v/>
      </c>
      <c r="H32" s="9">
        <f>IF(G32="","",IF(ISNUMBER(G32),IF(G32&gt;=Settings!$B$2,"High",IF(G32&gt;=Settings!$B$3,"Medium","Low")),"check input"))</f>
        <v/>
      </c>
      <c r="I32" s="8"/>
      <c r="J32" s="8"/>
      <c r="K32" s="8"/>
      <c r="L32" s="10"/>
    </row>
    <row r="33" spans="1:12" ht="24" customHeight="1">
      <c r="A33" s="8"/>
      <c r="B33" s="8"/>
      <c r="C33" s="8"/>
      <c r="D33" s="8"/>
      <c r="E33" s="5"/>
      <c r="F33" s="5"/>
      <c r="G33" s="9">
        <f>IF(OR(E33="",F33=""),"",IFERROR(IF(AND(ISNUMBER(E33),ISNUMBER(F33),E33=INT(E33),F33=INT(F33),E33&gt;=Settings!$B$5,E33&lt;=Settings!$B$6,F33&gt;=Settings!$B$5,F33&lt;=Settings!$B$6),E33*F33,"check input"),"check input"))</f>
        <v/>
      </c>
      <c r="H33" s="9">
        <f>IF(G33="","",IF(ISNUMBER(G33),IF(G33&gt;=Settings!$B$2,"High",IF(G33&gt;=Settings!$B$3,"Medium","Low")),"check input"))</f>
        <v/>
      </c>
      <c r="I33" s="8"/>
      <c r="J33" s="8"/>
      <c r="K33" s="8"/>
      <c r="L33" s="10"/>
    </row>
    <row r="34" spans="1:12" ht="24" customHeight="1">
      <c r="A34" s="8"/>
      <c r="B34" s="8"/>
      <c r="C34" s="8"/>
      <c r="D34" s="8"/>
      <c r="E34" s="5"/>
      <c r="F34" s="5"/>
      <c r="G34" s="9">
        <f>IF(OR(E34="",F34=""),"",IFERROR(IF(AND(ISNUMBER(E34),ISNUMBER(F34),E34=INT(E34),F34=INT(F34),E34&gt;=Settings!$B$5,E34&lt;=Settings!$B$6,F34&gt;=Settings!$B$5,F34&lt;=Settings!$B$6),E34*F34,"check input"),"check input"))</f>
        <v/>
      </c>
      <c r="H34" s="9">
        <f>IF(G34="","",IF(ISNUMBER(G34),IF(G34&gt;=Settings!$B$2,"High",IF(G34&gt;=Settings!$B$3,"Medium","Low")),"check input"))</f>
        <v/>
      </c>
      <c r="I34" s="8"/>
      <c r="J34" s="8"/>
      <c r="K34" s="8"/>
      <c r="L34" s="10"/>
    </row>
    <row r="35" spans="1:12" ht="24" customHeight="1">
      <c r="A35" s="8"/>
      <c r="B35" s="8"/>
      <c r="C35" s="8"/>
      <c r="D35" s="8"/>
      <c r="E35" s="5"/>
      <c r="F35" s="5"/>
      <c r="G35" s="9">
        <f>IF(OR(E35="",F35=""),"",IFERROR(IF(AND(ISNUMBER(E35),ISNUMBER(F35),E35=INT(E35),F35=INT(F35),E35&gt;=Settings!$B$5,E35&lt;=Settings!$B$6,F35&gt;=Settings!$B$5,F35&lt;=Settings!$B$6),E35*F35,"check input"),"check input"))</f>
        <v/>
      </c>
      <c r="H35" s="9">
        <f>IF(G35="","",IF(ISNUMBER(G35),IF(G35&gt;=Settings!$B$2,"High",IF(G35&gt;=Settings!$B$3,"Medium","Low")),"check input"))</f>
        <v/>
      </c>
      <c r="I35" s="8"/>
      <c r="J35" s="8"/>
      <c r="K35" s="8"/>
      <c r="L35" s="10"/>
    </row>
    <row r="36" spans="1:12" ht="24" customHeight="1">
      <c r="A36" s="8"/>
      <c r="B36" s="8"/>
      <c r="C36" s="8"/>
      <c r="D36" s="8"/>
      <c r="E36" s="5"/>
      <c r="F36" s="5"/>
      <c r="G36" s="9">
        <f>IF(OR(E36="",F36=""),"",IFERROR(IF(AND(ISNUMBER(E36),ISNUMBER(F36),E36=INT(E36),F36=INT(F36),E36&gt;=Settings!$B$5,E36&lt;=Settings!$B$6,F36&gt;=Settings!$B$5,F36&lt;=Settings!$B$6),E36*F36,"check input"),"check input"))</f>
        <v/>
      </c>
      <c r="H36" s="9">
        <f>IF(G36="","",IF(ISNUMBER(G36),IF(G36&gt;=Settings!$B$2,"High",IF(G36&gt;=Settings!$B$3,"Medium","Low")),"check input"))</f>
        <v/>
      </c>
      <c r="I36" s="8"/>
      <c r="J36" s="8"/>
      <c r="K36" s="8"/>
      <c r="L36" s="10"/>
    </row>
    <row r="37" spans="1:12" ht="24" customHeight="1">
      <c r="A37" s="8"/>
      <c r="B37" s="8"/>
      <c r="C37" s="8"/>
      <c r="D37" s="8"/>
      <c r="E37" s="5"/>
      <c r="F37" s="5"/>
      <c r="G37" s="9">
        <f>IF(OR(E37="",F37=""),"",IFERROR(IF(AND(ISNUMBER(E37),ISNUMBER(F37),E37=INT(E37),F37=INT(F37),E37&gt;=Settings!$B$5,E37&lt;=Settings!$B$6,F37&gt;=Settings!$B$5,F37&lt;=Settings!$B$6),E37*F37,"check input"),"check input"))</f>
        <v/>
      </c>
      <c r="H37" s="9">
        <f>IF(G37="","",IF(ISNUMBER(G37),IF(G37&gt;=Settings!$B$2,"High",IF(G37&gt;=Settings!$B$3,"Medium","Low")),"check input"))</f>
        <v/>
      </c>
      <c r="I37" s="8"/>
      <c r="J37" s="8"/>
      <c r="K37" s="8"/>
      <c r="L37" s="10"/>
    </row>
    <row r="38" spans="1:12" ht="24" customHeight="1">
      <c r="A38" s="8"/>
      <c r="B38" s="8"/>
      <c r="C38" s="8"/>
      <c r="D38" s="8"/>
      <c r="E38" s="5"/>
      <c r="F38" s="5"/>
      <c r="G38" s="9">
        <f>IF(OR(E38="",F38=""),"",IFERROR(IF(AND(ISNUMBER(E38),ISNUMBER(F38),E38=INT(E38),F38=INT(F38),E38&gt;=Settings!$B$5,E38&lt;=Settings!$B$6,F38&gt;=Settings!$B$5,F38&lt;=Settings!$B$6),E38*F38,"check input"),"check input"))</f>
        <v/>
      </c>
      <c r="H38" s="9">
        <f>IF(G38="","",IF(ISNUMBER(G38),IF(G38&gt;=Settings!$B$2,"High",IF(G38&gt;=Settings!$B$3,"Medium","Low")),"check input"))</f>
        <v/>
      </c>
      <c r="I38" s="8"/>
      <c r="J38" s="8"/>
      <c r="K38" s="8"/>
      <c r="L38" s="10"/>
    </row>
    <row r="39" spans="1:12" ht="24" customHeight="1">
      <c r="A39" s="8"/>
      <c r="B39" s="8"/>
      <c r="C39" s="8"/>
      <c r="D39" s="8"/>
      <c r="E39" s="5"/>
      <c r="F39" s="5"/>
      <c r="G39" s="9">
        <f>IF(OR(E39="",F39=""),"",IFERROR(IF(AND(ISNUMBER(E39),ISNUMBER(F39),E39=INT(E39),F39=INT(F39),E39&gt;=Settings!$B$5,E39&lt;=Settings!$B$6,F39&gt;=Settings!$B$5,F39&lt;=Settings!$B$6),E39*F39,"check input"),"check input"))</f>
        <v/>
      </c>
      <c r="H39" s="9">
        <f>IF(G39="","",IF(ISNUMBER(G39),IF(G39&gt;=Settings!$B$2,"High",IF(G39&gt;=Settings!$B$3,"Medium","Low")),"check input"))</f>
        <v/>
      </c>
      <c r="I39" s="8"/>
      <c r="J39" s="8"/>
      <c r="K39" s="8"/>
      <c r="L39" s="10"/>
    </row>
    <row r="40" spans="1:12" ht="24" customHeight="1">
      <c r="A40" s="8"/>
      <c r="B40" s="8"/>
      <c r="C40" s="8"/>
      <c r="D40" s="8"/>
      <c r="E40" s="5"/>
      <c r="F40" s="5"/>
      <c r="G40" s="9">
        <f>IF(OR(E40="",F40=""),"",IFERROR(IF(AND(ISNUMBER(E40),ISNUMBER(F40),E40=INT(E40),F40=INT(F40),E40&gt;=Settings!$B$5,E40&lt;=Settings!$B$6,F40&gt;=Settings!$B$5,F40&lt;=Settings!$B$6),E40*F40,"check input"),"check input"))</f>
        <v/>
      </c>
      <c r="H40" s="9">
        <f>IF(G40="","",IF(ISNUMBER(G40),IF(G40&gt;=Settings!$B$2,"High",IF(G40&gt;=Settings!$B$3,"Medium","Low")),"check input"))</f>
        <v/>
      </c>
      <c r="I40" s="8"/>
      <c r="J40" s="8"/>
      <c r="K40" s="8"/>
      <c r="L40" s="10"/>
    </row>
    <row r="41" spans="1:12" ht="24" customHeight="1">
      <c r="A41" s="8"/>
      <c r="B41" s="8"/>
      <c r="C41" s="8"/>
      <c r="D41" s="8"/>
      <c r="E41" s="5"/>
      <c r="F41" s="5"/>
      <c r="G41" s="9">
        <f>IF(OR(E41="",F41=""),"",IFERROR(IF(AND(ISNUMBER(E41),ISNUMBER(F41),E41=INT(E41),F41=INT(F41),E41&gt;=Settings!$B$5,E41&lt;=Settings!$B$6,F41&gt;=Settings!$B$5,F41&lt;=Settings!$B$6),E41*F41,"check input"),"check input"))</f>
        <v/>
      </c>
      <c r="H41" s="9">
        <f>IF(G41="","",IF(ISNUMBER(G41),IF(G41&gt;=Settings!$B$2,"High",IF(G41&gt;=Settings!$B$3,"Medium","Low")),"check input"))</f>
        <v/>
      </c>
      <c r="I41" s="8"/>
      <c r="J41" s="8"/>
      <c r="K41" s="8"/>
      <c r="L41" s="10"/>
    </row>
  </sheetData>
  <autoFilter ref="A1:L41"/>
  <conditionalFormatting sqref="A2:A500">
    <cfRule type="expression" dxfId="3" priority="4">
      <formula>AND(TRIM($A2)&lt;&gt;"",SUMPRODUCT(--(TRIM($A$2:$A$500)=TRIM($A2)))&gt;1)</formula>
    </cfRule>
  </conditionalFormatting>
  <conditionalFormatting sqref="H2:H41">
    <cfRule type="beginsWith" dxfId="0" priority="1" operator="beginsWith" text="High">
      <formula>LEFT(H2,4)="High"</formula>
    </cfRule>
    <cfRule type="beginsWith" dxfId="1" priority="2" operator="beginsWith" text="Medium">
      <formula>LEFT(H2,6)="Medium"</formula>
    </cfRule>
    <cfRule type="beginsWith" dxfId="2" priority="3" operator="beginsWith" text="Low">
      <formula>LEFT(H2,3)="Low"</formula>
    </cfRule>
  </conditionalFormatting>
  <dataValidations count="4">
    <dataValidation type="whole" allowBlank="1" showInputMessage="1" showErrorMessage="1" errorTitle="Whole number on the scale" error="Enter a whole number from the scale on the Settings sheet (default 1 to 5)." sqref="E2:F41">
      <formula1>Settings!$B$5</formula1>
      <formula2>Settings!$B$6</formula2>
    </dataValidation>
    <dataValidation type="list" allowBlank="1" showInputMessage="1" showErrorMessage="1" errorTitle="CSF 2.0 category" error="Pick a category ID from the list (sheet Lists)." sqref="D2:D41">
      <formula1>Lists!$A$2:$A$23</formula1>
    </dataValidation>
    <dataValidation type="date" operator="greaterThanOrEqual" allowBlank="1" showInputMessage="1" showErrorMessage="1" errorTitle="Date" error="Enter a real date, for example 2027-01-15." sqref="L2:L41">
      <formula1>43831</formula1>
    </dataValidation>
    <dataValidation type="list" allowBlank="1" showInputMessage="1" showErrorMessage="1" errorTitle="Status" error="Pick Open, In progress, Done or Accepted from the list." sqref="K2:K41">
      <formula1>Lists!$B$2:$B$5</formula1>
    </dataValidation>
  </dataValidation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README</vt:lpstr>
      <vt:lpstr>Settings</vt:lpstr>
      <vt:lpstr>Tests</vt:lpstr>
      <vt:lpstr>Lists</vt:lpstr>
      <vt:lpstr>Sample</vt:lpstr>
      <vt:lpstr>Blank</vt:lpstr>
      <vt:lpstr>Blank!Print_Titles</vt:lpstr>
      <vt:lpstr>Sample!Print_Titles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register template and sample (fictional)</dc:title>
  <dc:creator>Claude (AI-generated)</dc:creator>
  <dc:description>AI-generated free sample, not reviewed by a practitioner. Version 1.1.</dc:description>
  <cp:lastModifiedBy>Claude (AI-generated)</cp:lastModifiedBy>
  <dcterms:created xsi:type="dcterms:W3CDTF">2026-10-17T10:10:41Z</dcterms:created>
  <dcterms:modified xsi:type="dcterms:W3CDTF">2026-10-17T10:10:41Z</dcterms:modified>
</cp:coreProperties>
</file>